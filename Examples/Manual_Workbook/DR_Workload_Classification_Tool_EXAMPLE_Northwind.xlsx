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3" documentId="11_8810D1000A4D6C01EF8CC08CA303715E7EAB0D72" xr6:coauthVersionLast="47" xr6:coauthVersionMax="47" xr10:uidLastSave="{2BD3A8DA-0BE8-4F17-A1CA-96C18F4AEF08}"/>
  <bookViews>
    <workbookView xWindow="0" yWindow="0" windowWidth="16384" windowHeight="8192" tabRatio="500" firstSheet="4" activeTab="3" xr2:uid="{00000000-000D-0000-FFFF-FFFF00000000}"/>
  </bookViews>
  <sheets>
    <sheet name="Instructions" sheetId="1" r:id="rId1"/>
    <sheet name="Import" sheetId="2" r:id="rId2"/>
    <sheet name="Class-Matrix" sheetId="3" r:id="rId3"/>
    <sheet name="Workload-Register" sheetId="4" r:id="rId4"/>
    <sheet name="Dashboard" sheetId="5" r:id="rId5"/>
  </sheets>
  <definedNames>
    <definedName name="_xlnm._FilterDatabase" localSheetId="3" hidden="1">'Workload-Register'!$A$1:$R$116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16" i="4" l="1"/>
  <c r="K116" i="4" s="1"/>
  <c r="J115" i="4"/>
  <c r="K115" i="4" s="1"/>
  <c r="J114" i="4"/>
  <c r="K114" i="4" s="1"/>
  <c r="J113" i="4"/>
  <c r="K113" i="4" s="1"/>
  <c r="J112" i="4"/>
  <c r="K112" i="4" s="1"/>
  <c r="J111" i="4"/>
  <c r="K111" i="4" s="1"/>
  <c r="J110" i="4"/>
  <c r="K110" i="4" s="1"/>
  <c r="J109" i="4"/>
  <c r="K109" i="4" s="1"/>
  <c r="J108" i="4"/>
  <c r="K108" i="4" s="1"/>
  <c r="J107" i="4"/>
  <c r="K107" i="4" s="1"/>
  <c r="J106" i="4"/>
  <c r="K106" i="4" s="1"/>
  <c r="J105" i="4"/>
  <c r="K105" i="4" s="1"/>
  <c r="J104" i="4"/>
  <c r="K104" i="4" s="1"/>
  <c r="J103" i="4"/>
  <c r="K103" i="4" s="1"/>
  <c r="J102" i="4"/>
  <c r="K102" i="4" s="1"/>
  <c r="J101" i="4"/>
  <c r="K101" i="4" s="1"/>
  <c r="J100" i="4"/>
  <c r="K100" i="4" s="1"/>
  <c r="J99" i="4"/>
  <c r="K99" i="4" s="1"/>
  <c r="J98" i="4"/>
  <c r="K98" i="4" s="1"/>
  <c r="J97" i="4"/>
  <c r="K97" i="4" s="1"/>
  <c r="J96" i="4"/>
  <c r="K96" i="4" s="1"/>
  <c r="J95" i="4"/>
  <c r="K95" i="4" s="1"/>
  <c r="J94" i="4"/>
  <c r="K94" i="4" s="1"/>
  <c r="J93" i="4"/>
  <c r="K93" i="4" s="1"/>
  <c r="J92" i="4"/>
  <c r="K92" i="4" s="1"/>
  <c r="J91" i="4"/>
  <c r="K91" i="4" s="1"/>
  <c r="J90" i="4"/>
  <c r="K90" i="4" s="1"/>
  <c r="J89" i="4"/>
  <c r="K89" i="4" s="1"/>
  <c r="J88" i="4"/>
  <c r="K88" i="4" s="1"/>
  <c r="J87" i="4"/>
  <c r="K87" i="4" s="1"/>
  <c r="J86" i="4"/>
  <c r="K86" i="4" s="1"/>
  <c r="J85" i="4"/>
  <c r="K85" i="4" s="1"/>
  <c r="J84" i="4"/>
  <c r="K84" i="4" s="1"/>
  <c r="J83" i="4"/>
  <c r="K83" i="4" s="1"/>
  <c r="J82" i="4"/>
  <c r="K82" i="4" s="1"/>
  <c r="J81" i="4"/>
  <c r="K81" i="4" s="1"/>
  <c r="J80" i="4"/>
  <c r="K80" i="4" s="1"/>
  <c r="J79" i="4"/>
  <c r="K79" i="4" s="1"/>
  <c r="J78" i="4"/>
  <c r="K78" i="4" s="1"/>
  <c r="J77" i="4"/>
  <c r="K77" i="4" s="1"/>
  <c r="J76" i="4"/>
  <c r="K76" i="4" s="1"/>
  <c r="J75" i="4"/>
  <c r="K75" i="4" s="1"/>
  <c r="J74" i="4"/>
  <c r="K74" i="4" s="1"/>
  <c r="J73" i="4"/>
  <c r="K73" i="4" s="1"/>
  <c r="J72" i="4"/>
  <c r="K72" i="4" s="1"/>
  <c r="J71" i="4"/>
  <c r="K71" i="4" s="1"/>
  <c r="J70" i="4"/>
  <c r="K70" i="4" s="1"/>
  <c r="J69" i="4"/>
  <c r="K69" i="4" s="1"/>
  <c r="J68" i="4"/>
  <c r="K68" i="4" s="1"/>
  <c r="J67" i="4"/>
  <c r="K67" i="4" s="1"/>
  <c r="J66" i="4"/>
  <c r="K66" i="4" s="1"/>
  <c r="J65" i="4"/>
  <c r="K65" i="4" s="1"/>
  <c r="J64" i="4"/>
  <c r="K64" i="4" s="1"/>
  <c r="J63" i="4"/>
  <c r="K63" i="4" s="1"/>
  <c r="J62" i="4"/>
  <c r="K62" i="4" s="1"/>
  <c r="J61" i="4"/>
  <c r="K61" i="4" s="1"/>
  <c r="J60" i="4"/>
  <c r="K60" i="4" s="1"/>
  <c r="J59" i="4"/>
  <c r="K59" i="4" s="1"/>
  <c r="J58" i="4"/>
  <c r="K58" i="4" s="1"/>
  <c r="J57" i="4"/>
  <c r="K57" i="4" s="1"/>
  <c r="J56" i="4"/>
  <c r="K56" i="4" s="1"/>
  <c r="J55" i="4"/>
  <c r="K55" i="4" s="1"/>
  <c r="J54" i="4"/>
  <c r="K54" i="4" s="1"/>
  <c r="J53" i="4"/>
  <c r="K53" i="4" s="1"/>
  <c r="J52" i="4"/>
  <c r="K52" i="4" s="1"/>
  <c r="J51" i="4"/>
  <c r="K51" i="4" s="1"/>
  <c r="J50" i="4"/>
  <c r="K50" i="4" s="1"/>
  <c r="J49" i="4"/>
  <c r="K49" i="4" s="1"/>
  <c r="J48" i="4"/>
  <c r="K48" i="4" s="1"/>
  <c r="J47" i="4"/>
  <c r="K47" i="4" s="1"/>
  <c r="J46" i="4"/>
  <c r="K46" i="4" s="1"/>
  <c r="J45" i="4"/>
  <c r="K45" i="4" s="1"/>
  <c r="J44" i="4"/>
  <c r="K44" i="4" s="1"/>
  <c r="J43" i="4"/>
  <c r="K43" i="4" s="1"/>
  <c r="J42" i="4"/>
  <c r="K42" i="4" s="1"/>
  <c r="J41" i="4"/>
  <c r="K41" i="4" s="1"/>
  <c r="J40" i="4"/>
  <c r="K40" i="4" s="1"/>
  <c r="J39" i="4"/>
  <c r="K39" i="4" s="1"/>
  <c r="J38" i="4"/>
  <c r="K38" i="4" s="1"/>
  <c r="J37" i="4"/>
  <c r="K37" i="4" s="1"/>
  <c r="J36" i="4"/>
  <c r="K36" i="4" s="1"/>
  <c r="J35" i="4"/>
  <c r="K35" i="4" s="1"/>
  <c r="J34" i="4"/>
  <c r="K34" i="4" s="1"/>
  <c r="J33" i="4"/>
  <c r="K33" i="4" s="1"/>
  <c r="J32" i="4"/>
  <c r="K32" i="4" s="1"/>
  <c r="J31" i="4"/>
  <c r="K31" i="4" s="1"/>
  <c r="J30" i="4"/>
  <c r="K30" i="4" s="1"/>
  <c r="J29" i="4"/>
  <c r="K29" i="4" s="1"/>
  <c r="J28" i="4"/>
  <c r="K28" i="4" s="1"/>
  <c r="J27" i="4"/>
  <c r="K27" i="4" s="1"/>
  <c r="J26" i="4"/>
  <c r="K26" i="4" s="1"/>
  <c r="J25" i="4"/>
  <c r="K25" i="4" s="1"/>
  <c r="J24" i="4"/>
  <c r="K24" i="4" s="1"/>
  <c r="J23" i="4"/>
  <c r="K23" i="4" s="1"/>
  <c r="J22" i="4"/>
  <c r="K22" i="4" s="1"/>
  <c r="J21" i="4"/>
  <c r="K21" i="4" s="1"/>
  <c r="J20" i="4"/>
  <c r="K20" i="4" s="1"/>
  <c r="J19" i="4"/>
  <c r="K19" i="4" s="1"/>
  <c r="J18" i="4"/>
  <c r="K18" i="4" s="1"/>
  <c r="J17" i="4"/>
  <c r="K17" i="4" s="1"/>
  <c r="J16" i="4"/>
  <c r="K16" i="4" s="1"/>
  <c r="J15" i="4"/>
  <c r="K15" i="4" s="1"/>
  <c r="J14" i="4"/>
  <c r="K14" i="4" s="1"/>
  <c r="J13" i="4"/>
  <c r="K13" i="4" s="1"/>
  <c r="J12" i="4"/>
  <c r="K12" i="4" s="1"/>
  <c r="J11" i="4"/>
  <c r="K11" i="4" s="1"/>
  <c r="J10" i="4"/>
  <c r="K10" i="4" s="1"/>
  <c r="J9" i="4"/>
  <c r="K9" i="4" s="1"/>
  <c r="J8" i="4"/>
  <c r="K8" i="4" s="1"/>
  <c r="J7" i="4"/>
  <c r="K7" i="4" s="1"/>
  <c r="J6" i="4"/>
  <c r="K6" i="4" s="1"/>
  <c r="J5" i="4"/>
  <c r="K5" i="4" s="1"/>
  <c r="J4" i="4"/>
  <c r="K4" i="4" s="1"/>
  <c r="J3" i="4"/>
  <c r="K3" i="4" s="1"/>
  <c r="J2" i="4"/>
  <c r="K2" i="4" s="1"/>
  <c r="B9" i="5"/>
  <c r="B8" i="5"/>
  <c r="B7" i="5"/>
  <c r="B6" i="5"/>
  <c r="B5" i="5"/>
  <c r="B4" i="5"/>
  <c r="N2" i="4" l="1"/>
  <c r="M2" i="4"/>
  <c r="L2" i="4"/>
  <c r="N3" i="4"/>
  <c r="M3" i="4"/>
  <c r="L3" i="4"/>
  <c r="N4" i="4"/>
  <c r="M4" i="4"/>
  <c r="L4" i="4"/>
  <c r="N5" i="4"/>
  <c r="M5" i="4"/>
  <c r="L5" i="4"/>
  <c r="N6" i="4"/>
  <c r="M6" i="4"/>
  <c r="L6" i="4"/>
  <c r="N7" i="4"/>
  <c r="M7" i="4"/>
  <c r="L7" i="4"/>
  <c r="N8" i="4"/>
  <c r="M8" i="4"/>
  <c r="L8" i="4"/>
  <c r="N9" i="4"/>
  <c r="M9" i="4"/>
  <c r="L9" i="4"/>
  <c r="N10" i="4"/>
  <c r="M10" i="4"/>
  <c r="L10" i="4"/>
  <c r="N11" i="4"/>
  <c r="M11" i="4"/>
  <c r="L11" i="4"/>
  <c r="N12" i="4"/>
  <c r="M12" i="4"/>
  <c r="L12" i="4"/>
  <c r="N13" i="4"/>
  <c r="M13" i="4"/>
  <c r="L13" i="4"/>
  <c r="N14" i="4"/>
  <c r="M14" i="4"/>
  <c r="L14" i="4"/>
  <c r="N15" i="4"/>
  <c r="M15" i="4"/>
  <c r="L15" i="4"/>
  <c r="N16" i="4"/>
  <c r="M16" i="4"/>
  <c r="L16" i="4"/>
  <c r="N17" i="4"/>
  <c r="M17" i="4"/>
  <c r="L17" i="4"/>
  <c r="N18" i="4"/>
  <c r="M18" i="4"/>
  <c r="L18" i="4"/>
  <c r="N19" i="4"/>
  <c r="M19" i="4"/>
  <c r="L19" i="4"/>
  <c r="N20" i="4"/>
  <c r="M20" i="4"/>
  <c r="L20" i="4"/>
  <c r="N21" i="4"/>
  <c r="M21" i="4"/>
  <c r="L21" i="4"/>
  <c r="N22" i="4"/>
  <c r="M22" i="4"/>
  <c r="L22" i="4"/>
  <c r="N23" i="4"/>
  <c r="M23" i="4"/>
  <c r="L23" i="4"/>
  <c r="N24" i="4"/>
  <c r="M24" i="4"/>
  <c r="L24" i="4"/>
  <c r="N25" i="4"/>
  <c r="M25" i="4"/>
  <c r="L25" i="4"/>
  <c r="N26" i="4"/>
  <c r="M26" i="4"/>
  <c r="L26" i="4"/>
  <c r="N27" i="4"/>
  <c r="M27" i="4"/>
  <c r="L27" i="4"/>
  <c r="N28" i="4"/>
  <c r="M28" i="4"/>
  <c r="L28" i="4"/>
  <c r="N29" i="4"/>
  <c r="M29" i="4"/>
  <c r="L29" i="4"/>
  <c r="N30" i="4"/>
  <c r="M30" i="4"/>
  <c r="L30" i="4"/>
  <c r="N31" i="4"/>
  <c r="M31" i="4"/>
  <c r="L31" i="4"/>
  <c r="N32" i="4"/>
  <c r="M32" i="4"/>
  <c r="L32" i="4"/>
  <c r="N33" i="4"/>
  <c r="M33" i="4"/>
  <c r="L33" i="4"/>
  <c r="N34" i="4"/>
  <c r="M34" i="4"/>
  <c r="L34" i="4"/>
  <c r="N35" i="4"/>
  <c r="M35" i="4"/>
  <c r="L35" i="4"/>
  <c r="N36" i="4"/>
  <c r="M36" i="4"/>
  <c r="L36" i="4"/>
  <c r="N37" i="4"/>
  <c r="M37" i="4"/>
  <c r="L37" i="4"/>
  <c r="N38" i="4"/>
  <c r="M38" i="4"/>
  <c r="L38" i="4"/>
  <c r="N39" i="4"/>
  <c r="M39" i="4"/>
  <c r="L39" i="4"/>
  <c r="N40" i="4"/>
  <c r="M40" i="4"/>
  <c r="L40" i="4"/>
  <c r="N41" i="4"/>
  <c r="M41" i="4"/>
  <c r="L41" i="4"/>
  <c r="N42" i="4"/>
  <c r="M42" i="4"/>
  <c r="L42" i="4"/>
  <c r="N43" i="4"/>
  <c r="M43" i="4"/>
  <c r="L43" i="4"/>
  <c r="N44" i="4"/>
  <c r="M44" i="4"/>
  <c r="L44" i="4"/>
  <c r="N45" i="4"/>
  <c r="M45" i="4"/>
  <c r="L45" i="4"/>
  <c r="N46" i="4"/>
  <c r="M46" i="4"/>
  <c r="L46" i="4"/>
  <c r="N47" i="4"/>
  <c r="M47" i="4"/>
  <c r="L47" i="4"/>
  <c r="N48" i="4"/>
  <c r="M48" i="4"/>
  <c r="L48" i="4"/>
  <c r="N49" i="4"/>
  <c r="M49" i="4"/>
  <c r="L49" i="4"/>
  <c r="N50" i="4"/>
  <c r="M50" i="4"/>
  <c r="L50" i="4"/>
  <c r="N51" i="4"/>
  <c r="M51" i="4"/>
  <c r="L51" i="4"/>
  <c r="N52" i="4"/>
  <c r="M52" i="4"/>
  <c r="L52" i="4"/>
  <c r="N53" i="4"/>
  <c r="M53" i="4"/>
  <c r="L53" i="4"/>
  <c r="N54" i="4"/>
  <c r="M54" i="4"/>
  <c r="L54" i="4"/>
  <c r="N55" i="4"/>
  <c r="M55" i="4"/>
  <c r="L55" i="4"/>
  <c r="N56" i="4"/>
  <c r="M56" i="4"/>
  <c r="L56" i="4"/>
  <c r="N57" i="4"/>
  <c r="M57" i="4"/>
  <c r="L57" i="4"/>
  <c r="N58" i="4"/>
  <c r="M58" i="4"/>
  <c r="L58" i="4"/>
  <c r="N59" i="4"/>
  <c r="M59" i="4"/>
  <c r="L59" i="4"/>
  <c r="N60" i="4"/>
  <c r="M60" i="4"/>
  <c r="L60" i="4"/>
  <c r="N61" i="4"/>
  <c r="M61" i="4"/>
  <c r="L61" i="4"/>
  <c r="N62" i="4"/>
  <c r="M62" i="4"/>
  <c r="L62" i="4"/>
  <c r="N63" i="4"/>
  <c r="M63" i="4"/>
  <c r="L63" i="4"/>
  <c r="N64" i="4"/>
  <c r="M64" i="4"/>
  <c r="L64" i="4"/>
  <c r="N65" i="4"/>
  <c r="M65" i="4"/>
  <c r="L65" i="4"/>
  <c r="N66" i="4"/>
  <c r="M66" i="4"/>
  <c r="L66" i="4"/>
  <c r="N67" i="4"/>
  <c r="M67" i="4"/>
  <c r="L67" i="4"/>
  <c r="N68" i="4"/>
  <c r="M68" i="4"/>
  <c r="L68" i="4"/>
  <c r="N69" i="4"/>
  <c r="M69" i="4"/>
  <c r="L69" i="4"/>
  <c r="N70" i="4"/>
  <c r="M70" i="4"/>
  <c r="L70" i="4"/>
  <c r="N71" i="4"/>
  <c r="M71" i="4"/>
  <c r="L71" i="4"/>
  <c r="N72" i="4"/>
  <c r="M72" i="4"/>
  <c r="L72" i="4"/>
  <c r="N73" i="4"/>
  <c r="M73" i="4"/>
  <c r="L73" i="4"/>
  <c r="N74" i="4"/>
  <c r="M74" i="4"/>
  <c r="L74" i="4"/>
  <c r="N75" i="4"/>
  <c r="M75" i="4"/>
  <c r="L75" i="4"/>
  <c r="N76" i="4"/>
  <c r="M76" i="4"/>
  <c r="L76" i="4"/>
  <c r="N77" i="4"/>
  <c r="M77" i="4"/>
  <c r="L77" i="4"/>
  <c r="N78" i="4"/>
  <c r="M78" i="4"/>
  <c r="L78" i="4"/>
  <c r="N79" i="4"/>
  <c r="M79" i="4"/>
  <c r="L79" i="4"/>
  <c r="N80" i="4"/>
  <c r="M80" i="4"/>
  <c r="L80" i="4"/>
  <c r="N81" i="4"/>
  <c r="M81" i="4"/>
  <c r="L81" i="4"/>
  <c r="N82" i="4"/>
  <c r="M82" i="4"/>
  <c r="L82" i="4"/>
  <c r="N83" i="4"/>
  <c r="M83" i="4"/>
  <c r="L83" i="4"/>
  <c r="N84" i="4"/>
  <c r="M84" i="4"/>
  <c r="L84" i="4"/>
  <c r="N85" i="4"/>
  <c r="M85" i="4"/>
  <c r="L85" i="4"/>
  <c r="N86" i="4"/>
  <c r="M86" i="4"/>
  <c r="L86" i="4"/>
  <c r="N87" i="4"/>
  <c r="M87" i="4"/>
  <c r="L87" i="4"/>
  <c r="N88" i="4"/>
  <c r="M88" i="4"/>
  <c r="L88" i="4"/>
  <c r="N89" i="4"/>
  <c r="M89" i="4"/>
  <c r="L89" i="4"/>
  <c r="N90" i="4"/>
  <c r="M90" i="4"/>
  <c r="L90" i="4"/>
  <c r="N91" i="4"/>
  <c r="M91" i="4"/>
  <c r="L91" i="4"/>
  <c r="N92" i="4"/>
  <c r="M92" i="4"/>
  <c r="L92" i="4"/>
  <c r="N93" i="4"/>
  <c r="M93" i="4"/>
  <c r="L93" i="4"/>
  <c r="N94" i="4"/>
  <c r="M94" i="4"/>
  <c r="L94" i="4"/>
  <c r="N95" i="4"/>
  <c r="M95" i="4"/>
  <c r="L95" i="4"/>
  <c r="N96" i="4"/>
  <c r="M96" i="4"/>
  <c r="L96" i="4"/>
  <c r="N97" i="4"/>
  <c r="M97" i="4"/>
  <c r="L97" i="4"/>
  <c r="N98" i="4"/>
  <c r="M98" i="4"/>
  <c r="L98" i="4"/>
  <c r="N99" i="4"/>
  <c r="M99" i="4"/>
  <c r="L99" i="4"/>
  <c r="N100" i="4"/>
  <c r="M100" i="4"/>
  <c r="L100" i="4"/>
  <c r="N101" i="4"/>
  <c r="M101" i="4"/>
  <c r="L101" i="4"/>
  <c r="N102" i="4"/>
  <c r="M102" i="4"/>
  <c r="L102" i="4"/>
  <c r="N103" i="4"/>
  <c r="M103" i="4"/>
  <c r="L103" i="4"/>
  <c r="N104" i="4"/>
  <c r="M104" i="4"/>
  <c r="L104" i="4"/>
  <c r="N105" i="4"/>
  <c r="M105" i="4"/>
  <c r="L105" i="4"/>
  <c r="N106" i="4"/>
  <c r="M106" i="4"/>
  <c r="L106" i="4"/>
  <c r="N107" i="4"/>
  <c r="M107" i="4"/>
  <c r="L107" i="4"/>
  <c r="N108" i="4"/>
  <c r="M108" i="4"/>
  <c r="L108" i="4"/>
  <c r="N109" i="4"/>
  <c r="M109" i="4"/>
  <c r="L109" i="4"/>
  <c r="N110" i="4"/>
  <c r="M110" i="4"/>
  <c r="L110" i="4"/>
  <c r="N111" i="4"/>
  <c r="M111" i="4"/>
  <c r="L111" i="4"/>
  <c r="N112" i="4"/>
  <c r="M112" i="4"/>
  <c r="L112" i="4"/>
  <c r="N113" i="4"/>
  <c r="M113" i="4"/>
  <c r="L113" i="4"/>
  <c r="N114" i="4"/>
  <c r="M114" i="4"/>
  <c r="L114" i="4"/>
  <c r="N115" i="4"/>
  <c r="M115" i="4"/>
  <c r="L115" i="4"/>
  <c r="N116" i="4"/>
  <c r="M116" i="4"/>
  <c r="L116" i="4"/>
</calcChain>
</file>

<file path=xl/sharedStrings.xml><?xml version="1.0" encoding="utf-8"?>
<sst xmlns="http://schemas.openxmlformats.org/spreadsheetml/2006/main" count="616" uniqueCount="333">
  <si>
    <t>EXAMPLE DATA – Northwind Retail Group AG (fictitious)</t>
  </si>
  <si>
    <t>About this file</t>
  </si>
  <si>
    <t>This workbook helps Veeam TAMs conduct a structured workload classification for a disaster recovery concept together with the customer. It is the standalone, fully manual companion to DR_Workload_Classification.html — use it when no RVTools/inventory export is available or when the customer prefers to work in a spreadsheet. The browser tool does not require this file; conversely, a completed workbook can be uploaded there for visualization.</t>
  </si>
  <si>
    <t>Contents</t>
  </si>
  <si>
    <t>1.  Import: Optionally paste the customer's raw workload list (from any source) into "Import" as a working reference, or enter workloads directly in the Workload-Register.</t>
  </si>
  <si>
    <t>2.  Workload-Register: Enter owner, description and the three assessment criteria Business Impact / Regulatory / Data Sensitivity (dropdowns 1–5) — protection class, target RPO/RTO and configuration recommendation are calculated automatically. Recovery Complexity (1–5) is documented alongside but never affects the score.</t>
  </si>
  <si>
    <t>Methodology</t>
  </si>
  <si>
    <t>See DR_Workload_Classification_Tool.xlsx for the full explanation of the assessment criteria (Business Impact 45%, Regulatory 35%, Data Sensitivity 20%), protection class thresholds and the Tier 0–4 naming. Recovery complexity is a separate effort/risk assessment and is not included in the score. This file uses exactly the same methodology and formulas.</t>
  </si>
  <si>
    <t>5.  Visualize (optional): Upload the completed workbook to "DR_Workload_Classification.html" (tab ② View classification, view-only) for class distribution, dependency network and automatic findings.</t>
  </si>
  <si>
    <t>Import – Workload Raw List</t>
  </si>
  <si>
    <t>Not used in this example file — the workloads below in "Workload-Register" are already recorded. This sheet is kept as a template for your own imports.</t>
  </si>
  <si>
    <t>Workload Name</t>
  </si>
  <si>
    <t>Type (VM/Physical/DB/SaaS/Cloud)</t>
  </si>
  <si>
    <t>Operating System</t>
  </si>
  <si>
    <t>Location/Cluster</t>
  </si>
  <si>
    <t>Size (GiB)</t>
  </si>
  <si>
    <t>Responsible Team</t>
  </si>
  <si>
    <t>Source / Note</t>
  </si>
  <si>
    <t>Protection Class Matrix – Reference Table</t>
  </si>
  <si>
    <t>Note: "Tier" here refers exclusively to workload protection classes (this tool) and has nothing to do with the Uptime Institute tier classification (Tier I–IV) for physical data center infrastructure.</t>
  </si>
  <si>
    <t>Score (lower bound)</t>
  </si>
  <si>
    <t>Class (for formula)</t>
  </si>
  <si>
    <t>Tier 4 – Bronze</t>
  </si>
  <si>
    <t>Tier 3 – Silver</t>
  </si>
  <si>
    <t>Tier 2 – Gold</t>
  </si>
  <si>
    <t>Tier 1 – Platinum</t>
  </si>
  <si>
    <t xml:space="preserve"> Recovery complexity is deliberately NOT included in the score (see the Anleitung sheet) — it is a separate effort/risk assessment.</t>
  </si>
  <si>
    <t>Class</t>
  </si>
  <si>
    <t>Target RPO</t>
  </si>
  <si>
    <t>Target RTO</t>
  </si>
  <si>
    <t>Recommended Veeam / VRO Configuration</t>
  </si>
  <si>
    <t>Typical Systems (Examples)</t>
  </si>
  <si>
    <t>Test Frequency</t>
  </si>
  <si>
    <t>Rank (0=strongest class)</t>
  </si>
  <si>
    <t>Tier 0 – Foundation</t>
  </si>
  <si>
    <t>≈ 0 (continuous replication)</t>
  </si>
  <si>
    <t>&lt; 30 min</t>
  </si>
  <si>
    <t>CDP / continuous replication, immutability on-premises + cloud, highest VRO runbook priority</t>
  </si>
  <si>
    <t>Active Directory, DNS, PKI, the backup infrastructure itself, core network</t>
  </si>
  <si>
    <t>At every DR test</t>
  </si>
  <si>
    <t>&lt; 15 min</t>
  </si>
  <si>
    <t>&lt; 1 h</t>
  </si>
  <si>
    <t>Near-CDP replication + immutable backup, automated VRO orchestration plan with failover</t>
  </si>
  <si>
    <t>Core transaction systems, systems subject to DORA/NIS2, ERP core</t>
  </si>
  <si>
    <t>Monthly</t>
  </si>
  <si>
    <t>&lt; 4 h</t>
  </si>
  <si>
    <t>Multiple daily backups + optional replication, semi-automated VRO runbook</t>
  </si>
  <si>
    <t>Important business applications, collaboration platforms</t>
  </si>
  <si>
    <t>Quarterly</t>
  </si>
  <si>
    <t>&lt; 24 h</t>
  </si>
  <si>
    <t>Daily backup, immutability optional, standardized VRO runbook</t>
  </si>
  <si>
    <t>Internal line-of-business applications</t>
  </si>
  <si>
    <t>Semi-annually</t>
  </si>
  <si>
    <t>&lt; 72 h / best effort</t>
  </si>
  <si>
    <t>Standard backup policy (daily/weekly), manual recovery acceptable</t>
  </si>
  <si>
    <t>Archive/test systems, non-critical services</t>
  </si>
  <si>
    <t>Annually (sample)</t>
  </si>
  <si>
    <t>#</t>
  </si>
  <si>
    <t>Owner /
System Owner</t>
  </si>
  <si>
    <t>Business Function / Description</t>
  </si>
  <si>
    <t>Foundational
Dependency?</t>
  </si>
  <si>
    <t>Business
Impact (1-5)</t>
  </si>
  <si>
    <t>Regulatory
(1-5)</t>
  </si>
  <si>
    <t>Data
Sensitivity (1-5)</t>
  </si>
  <si>
    <t>Recovery Complexity (1-5) – effort/risk, NOT part of the score</t>
  </si>
  <si>
    <t>Score</t>
  </si>
  <si>
    <t>Protection Class</t>
  </si>
  <si>
    <t>Recommended Veeam/VRO Configuration</t>
  </si>
  <si>
    <t>Actual RPO (current)</t>
  </si>
  <si>
    <t>Actual RTO (current)</t>
  </si>
  <si>
    <t>Gap / Actions</t>
  </si>
  <si>
    <t>Depends on
(workload IDs, comma-separated)</t>
  </si>
  <si>
    <t>AD-DC01</t>
  </si>
  <si>
    <t>D. Krause (Network)</t>
  </si>
  <si>
    <t>Primary Active Directory domain controller</t>
  </si>
  <si>
    <t>Yes</t>
  </si>
  <si>
    <t>AD-DC02</t>
  </si>
  <si>
    <t>T. Brandt (Application Management)</t>
  </si>
  <si>
    <t>Secondary Active Directory domain controller (DR data center site)</t>
  </si>
  <si>
    <t>DNS-PRIMARY</t>
  </si>
  <si>
    <t>S. Meier (IT Operations)</t>
  </si>
  <si>
    <t>Primary DNS server for all internal zones</t>
  </si>
  <si>
    <t>PKI-CA01</t>
  </si>
  <si>
    <t>N. Hoffmann (Store IT)</t>
  </si>
  <si>
    <t>Certificate authority (PKI) for internal certificates</t>
  </si>
  <si>
    <t>BACKUP-INFRA-VBR01</t>
  </si>
  <si>
    <t>A. Nowak (Security)</t>
  </si>
  <si>
    <t>Veeam Backup &amp; Replication server (the backup infrastructure itself)</t>
  </si>
  <si>
    <t>CORE-SWITCH01</t>
  </si>
  <si>
    <t>R. Vogel (Infrastructure)</t>
  </si>
  <si>
    <t>Core network switch, primary data center</t>
  </si>
  <si>
    <t>ERP-DB01</t>
  </si>
  <si>
    <t>SAP S/4HANA database – financial accounting, materials management</t>
  </si>
  <si>
    <t>No</t>
  </si>
  <si>
    <t>1,3</t>
  </si>
  <si>
    <t>PAYMENT-DB01</t>
  </si>
  <si>
    <t>J. Keller (Database Team)</t>
  </si>
  <si>
    <t>Payment processing database (PCI-relevant)</t>
  </si>
  <si>
    <t>FINANCE-DB01</t>
  </si>
  <si>
    <t>Financial accounting database (group reporting)</t>
  </si>
  <si>
    <t>HR-DB01</t>
  </si>
  <si>
    <t>HR database (payroll, personnel files)</t>
  </si>
  <si>
    <t>CRM-DB01</t>
  </si>
  <si>
    <t>Customer relationship management database</t>
  </si>
  <si>
    <t>WMS-DB01</t>
  </si>
  <si>
    <t>Warehouse management system database</t>
  </si>
  <si>
    <t>LOGISTICS-DB01</t>
  </si>
  <si>
    <t>C. Reiter (Finance IT)</t>
  </si>
  <si>
    <t>Logistics and shipping dispatch database</t>
  </si>
  <si>
    <t>ORDERMGMT-DB01</t>
  </si>
  <si>
    <t>Order management database</t>
  </si>
  <si>
    <t>PRICING-DB01</t>
  </si>
  <si>
    <t>K. Wagner (Facility IT)</t>
  </si>
  <si>
    <t>Pricing database</t>
  </si>
  <si>
    <t>INVENTORY-DB01</t>
  </si>
  <si>
    <t>M. Fink (Logistics IT)</t>
  </si>
  <si>
    <t>Inventory management database</t>
  </si>
  <si>
    <t>CUSTOMERPORTAL-DB01</t>
  </si>
  <si>
    <t>Customer portal database</t>
  </si>
  <si>
    <t>WEBSHOP-DB01</t>
  </si>
  <si>
    <t>Online shop database (production system)</t>
  </si>
  <si>
    <t>WEBSHOP-DB02</t>
  </si>
  <si>
    <t>Online shop database (read replica for reporting)</t>
  </si>
  <si>
    <t>BI-DB01</t>
  </si>
  <si>
    <t>Data warehouse database for business intelligence</t>
  </si>
  <si>
    <t>ANALYTICS-DB01</t>
  </si>
  <si>
    <t>Analytics database (customer behavior)</t>
  </si>
  <si>
    <t>LOYALTY-DB01</t>
  </si>
  <si>
    <t>Customer loyalty program database</t>
  </si>
  <si>
    <t>TICKETING-DB01</t>
  </si>
  <si>
    <t>Service desk ticketing database</t>
  </si>
  <si>
    <t>ARCHIVE-DB01</t>
  </si>
  <si>
    <t>Archive database for closed transactions</t>
  </si>
  <si>
    <t>ERP-APP01</t>
  </si>
  <si>
    <t>SAP S/4HANA application server 1</t>
  </si>
  <si>
    <t>1,3,7</t>
  </si>
  <si>
    <t>ERP-APP02</t>
  </si>
  <si>
    <t>SAP S/4HANA application server 2 (load balancing)</t>
  </si>
  <si>
    <t>Dependency(ies) classified weaker than this system (ERP-DB01) – clarify in workshop.</t>
  </si>
  <si>
    <t>CRM-APP01</t>
  </si>
  <si>
    <t>CRM application server</t>
  </si>
  <si>
    <t>Dependency(ies) classified weaker than this system (CRM-DB01) – clarify in workshop.</t>
  </si>
  <si>
    <t>1,3,11</t>
  </si>
  <si>
    <t>WEBSHOP-WEB01</t>
  </si>
  <si>
    <t>Online shop web server 1 (frontend)</t>
  </si>
  <si>
    <t>1,3,18</t>
  </si>
  <si>
    <t>WEBSHOP-WEB02</t>
  </si>
  <si>
    <t>Online shop web server 2 (frontend, load balancing)</t>
  </si>
  <si>
    <t>WEBSHOP-WEB03</t>
  </si>
  <si>
    <t>Online shop web server 3 (load balancing)</t>
  </si>
  <si>
    <t>WEBSHOP-API01</t>
  </si>
  <si>
    <t>Online shop API gateway</t>
  </si>
  <si>
    <t>Dependency(ies) classified weaker than this system (SEARCH-SERVICE01, CACHE-REDIS01) – clarify in workshop.</t>
  </si>
  <si>
    <t>1,3,18,48,49</t>
  </si>
  <si>
    <t>WMS-APP01</t>
  </si>
  <si>
    <t>Warehouse management system application server</t>
  </si>
  <si>
    <t>Dependency(ies) classified weaker than this system (WMS-DB01) – clarify in workshop.</t>
  </si>
  <si>
    <t>1,3,12</t>
  </si>
  <si>
    <t>LOGISTICS-APP01</t>
  </si>
  <si>
    <t>P. Adler (HR IT)</t>
  </si>
  <si>
    <t>Logistics dispatch application</t>
  </si>
  <si>
    <t>1,3,13</t>
  </si>
  <si>
    <t>ORDERMGMT-APP01</t>
  </si>
  <si>
    <t>Order management application</t>
  </si>
  <si>
    <t>1,3,14</t>
  </si>
  <si>
    <t>PAYMENT-GATEWAY01</t>
  </si>
  <si>
    <t>Payment gateway (credit card/payment processing)</t>
  </si>
  <si>
    <t>Dependency(ies) classified weaker than this system (NOTIFICATION-SERVICE01) – clarify in workshop.</t>
  </si>
  <si>
    <t>1,3,8,47</t>
  </si>
  <si>
    <t>CUSTOMERPORTAL-WEB01</t>
  </si>
  <si>
    <t>Customer portal web server 1</t>
  </si>
  <si>
    <t>Dependency(ies) classified weaker than this system (TICKETING-APP01) – clarify in workshop.</t>
  </si>
  <si>
    <t>1,3,17,41</t>
  </si>
  <si>
    <t>CUSTOMERPORTAL-WEB02</t>
  </si>
  <si>
    <t>Customer portal web server 2 (load balancing)</t>
  </si>
  <si>
    <t>Dependency(ies) classified weaker than this system (CUSTOMERPORTAL-DB01, TICKETING-APP01) – clarify in workshop.</t>
  </si>
  <si>
    <t>PRICING-APP01</t>
  </si>
  <si>
    <t>Pricing application</t>
  </si>
  <si>
    <t>1,3,15</t>
  </si>
  <si>
    <t>INVENTORY-APP01</t>
  </si>
  <si>
    <t>Inventory management application</t>
  </si>
  <si>
    <t>1,3,16</t>
  </si>
  <si>
    <t>LOYALTY-APP01</t>
  </si>
  <si>
    <t>L. Schuster (E-Commerce)</t>
  </si>
  <si>
    <t>Customer loyalty program application</t>
  </si>
  <si>
    <t>Dependency(ies) classified weaker than this system (LOYALTY-DB01) – clarify in workshop.</t>
  </si>
  <si>
    <t>1,3,22</t>
  </si>
  <si>
    <t>TICKETING-APP01</t>
  </si>
  <si>
    <t>Service desk ticketing system</t>
  </si>
  <si>
    <t>Dependency(ies) classified weaker than this system (TICKETING-DB01) – clarify in workshop.</t>
  </si>
  <si>
    <t>1,3,23</t>
  </si>
  <si>
    <t>BI-REPORTING01</t>
  </si>
  <si>
    <t>Business intelligence reporting server</t>
  </si>
  <si>
    <t>1,3,20</t>
  </si>
  <si>
    <t>ANALYTICS-APP01</t>
  </si>
  <si>
    <t>Analytics application server</t>
  </si>
  <si>
    <t>1,3,21</t>
  </si>
  <si>
    <t>EDI-GATEWAY01</t>
  </si>
  <si>
    <t>EDI gateway for supplier data exchange</t>
  </si>
  <si>
    <t>1,3,34</t>
  </si>
  <si>
    <t>B2B-PORTAL01</t>
  </si>
  <si>
    <t>B2B partner portal</t>
  </si>
  <si>
    <t>MOBILE-APP-BACKEND01</t>
  </si>
  <si>
    <t>Backend for the mobile customer app</t>
  </si>
  <si>
    <t>1,3,31,47,48,49</t>
  </si>
  <si>
    <t>NOTIFICATION-SERVICE01</t>
  </si>
  <si>
    <t>Notification service (email/SMS/push)</t>
  </si>
  <si>
    <t>SEARCH-SERVICE01</t>
  </si>
  <si>
    <t>Search service (product search, Elasticsearch)</t>
  </si>
  <si>
    <t>CACHE-REDIS01</t>
  </si>
  <si>
    <t>Caching service (Redis)</t>
  </si>
  <si>
    <t>QUEUE-MESSAGING01</t>
  </si>
  <si>
    <t>Message queue service</t>
  </si>
  <si>
    <t>FINANCE-APP01</t>
  </si>
  <si>
    <t>Financial accounting application</t>
  </si>
  <si>
    <t>1,3,9</t>
  </si>
  <si>
    <t>HR-PORTAL01</t>
  </si>
  <si>
    <t>HR self-service portal</t>
  </si>
  <si>
    <t>1,3,10</t>
  </si>
  <si>
    <t>INTRANET-WEB01</t>
  </si>
  <si>
    <t>Employee intranet</t>
  </si>
  <si>
    <t>MARKETING-CMS01</t>
  </si>
  <si>
    <t>Marketing content management system</t>
  </si>
  <si>
    <t>RECRUITING-APP01</t>
  </si>
  <si>
    <t>Applicant management system</t>
  </si>
  <si>
    <t>EXPENSE-APP01</t>
  </si>
  <si>
    <t>Travel expense system</t>
  </si>
  <si>
    <t>FLEET-MGMT-APP01</t>
  </si>
  <si>
    <t>Fleet management system</t>
  </si>
  <si>
    <t>FACILITY-MGMT-APP01</t>
  </si>
  <si>
    <t>Facility management system</t>
  </si>
  <si>
    <t>CONTRACT-MGMT-APP01</t>
  </si>
  <si>
    <t>Contract management system</t>
  </si>
  <si>
    <t>DEV-APP01</t>
  </si>
  <si>
    <t>Development environment for applications</t>
  </si>
  <si>
    <t>TEST-APP01</t>
  </si>
  <si>
    <t>Test environment for applications</t>
  </si>
  <si>
    <t>STAGING-WEB01</t>
  </si>
  <si>
    <t>Staging environment for the web shop</t>
  </si>
  <si>
    <t>EXCHANGE-01</t>
  </si>
  <si>
    <t>Exchange server 1 (email, mailboxes)</t>
  </si>
  <si>
    <t>EXCHANGE-02</t>
  </si>
  <si>
    <t>Exchange server 2 (email, load balancing)</t>
  </si>
  <si>
    <t>SHAREPOINT-01</t>
  </si>
  <si>
    <t>SharePoint server (document management)</t>
  </si>
  <si>
    <t>TEAMS-CONNECTOR01</t>
  </si>
  <si>
    <t>Teams/collaboration connector</t>
  </si>
  <si>
    <t>FILESERVER-01</t>
  </si>
  <si>
    <t>File server 1 (department shares)</t>
  </si>
  <si>
    <t>FILESERVER-02</t>
  </si>
  <si>
    <t>File server 2 (department shares)</t>
  </si>
  <si>
    <t>DFS-NAMESPACE01</t>
  </si>
  <si>
    <t>DFS namespace server</t>
  </si>
  <si>
    <t>1,3,67,68</t>
  </si>
  <si>
    <t>PRINTSERVER-01</t>
  </si>
  <si>
    <t>Print server</t>
  </si>
  <si>
    <t>FAX-SERVER01</t>
  </si>
  <si>
    <t>Fax server</t>
  </si>
  <si>
    <t>INTRANET-CMS01</t>
  </si>
  <si>
    <t>Intranet CMS backend</t>
  </si>
  <si>
    <t>VEEAM-ONE01</t>
  </si>
  <si>
    <t>Veeam ONE monitoring server</t>
  </si>
  <si>
    <t>1,3,5</t>
  </si>
  <si>
    <t>SIEM-01</t>
  </si>
  <si>
    <t>SIEM system (security monitoring)</t>
  </si>
  <si>
    <t>MONITORING-NAGIOS01</t>
  </si>
  <si>
    <t>Infrastructure monitoring (Nagios/Checkmk)</t>
  </si>
  <si>
    <t>AV-MANAGEMENT01</t>
  </si>
  <si>
    <t>Antivirus management server</t>
  </si>
  <si>
    <t>PATCH-MGMT01</t>
  </si>
  <si>
    <t>Patch management server</t>
  </si>
  <si>
    <t>JUMPHOST01</t>
  </si>
  <si>
    <t>Jump host / bastion host for administrative access</t>
  </si>
  <si>
    <t>VULNERABILITY-SCANNER01</t>
  </si>
  <si>
    <t>Vulnerability scanner</t>
  </si>
  <si>
    <t>LOGGING-ELK01</t>
  </si>
  <si>
    <t>Central log management (ELK stack)</t>
  </si>
  <si>
    <t>1,3,75</t>
  </si>
  <si>
    <t>STORE-SRV-BERLIN01</t>
  </si>
  <si>
    <t>Store server Berlin</t>
  </si>
  <si>
    <t>1,3,32,33</t>
  </si>
  <si>
    <t>STORE-SRV-HAMBURG01</t>
  </si>
  <si>
    <t>Store server Hamburg</t>
  </si>
  <si>
    <t>STORE-SRV-MUENCHEN01</t>
  </si>
  <si>
    <t>Store server Munich</t>
  </si>
  <si>
    <t>STORE-SRV-KOELN01</t>
  </si>
  <si>
    <t>Store server Cologne</t>
  </si>
  <si>
    <t>STORE-SRV-FRANKFURT01</t>
  </si>
  <si>
    <t>Store server Frankfurt</t>
  </si>
  <si>
    <t>STORE-SRV-STUTTGART01</t>
  </si>
  <si>
    <t>Store server Stuttgart</t>
  </si>
  <si>
    <t>STORE-SRV-DUESSELDORF01</t>
  </si>
  <si>
    <t>Store server Duesseldorf</t>
  </si>
  <si>
    <t>STORE-SRV-DRESDEN01</t>
  </si>
  <si>
    <t>Store server Dresden</t>
  </si>
  <si>
    <t>STORE-SRV-HANNOVER01</t>
  </si>
  <si>
    <t>Store server Hanover</t>
  </si>
  <si>
    <t>STORE-SRV-NUERNBERG01</t>
  </si>
  <si>
    <t>Store server Nuremberg</t>
  </si>
  <si>
    <t>STORE-SRV-ESSEN01</t>
  </si>
  <si>
    <t>Store server Essen</t>
  </si>
  <si>
    <t>WAREHOUSE-SRV-BREMEN01</t>
  </si>
  <si>
    <t>Warehouse server Bremen</t>
  </si>
  <si>
    <t>WAREHOUSE-SRV-LEIPZIG01</t>
  </si>
  <si>
    <t>Warehouse server Leipzig</t>
  </si>
  <si>
    <t>DC-BACKUP-SITE01</t>
  </si>
  <si>
    <t>Backup data center site system</t>
  </si>
  <si>
    <t>DR-SITE-MGMT01</t>
  </si>
  <si>
    <t>DR site management server</t>
  </si>
  <si>
    <t>LEGACY-AS400-01</t>
  </si>
  <si>
    <t>Legacy AS/400 system (legacy merchandise management)</t>
  </si>
  <si>
    <t>LEGACY-BILLING01</t>
  </si>
  <si>
    <t>Old billing application (being phased out)</t>
  </si>
  <si>
    <t>ARCHIVE-FILESRV01</t>
  </si>
  <si>
    <t>Archive file server (completed projects)</t>
  </si>
  <si>
    <t>OLD-CRM-READONLY01</t>
  </si>
  <si>
    <t>Old CRM system (read-only, migration completed)</t>
  </si>
  <si>
    <t>TRAINING-ENV01</t>
  </si>
  <si>
    <t>Training environment</t>
  </si>
  <si>
    <t>SANDBOX-DEV01</t>
  </si>
  <si>
    <t>Sandbox development environment</t>
  </si>
  <si>
    <t>POC-ENVIRONMENT01</t>
  </si>
  <si>
    <t>Proof-of-concept environment</t>
  </si>
  <si>
    <t>DECOMMISSION-PENDING01</t>
  </si>
  <si>
    <t>System pending decommissioning (migration in progress)</t>
  </si>
  <si>
    <t>MISC-UTILITY01</t>
  </si>
  <si>
    <t>Miscellaneous internal utility tools</t>
  </si>
  <si>
    <t>COMPLIANCE-ARCHIVE01</t>
  </si>
  <si>
    <t>Audit-proof compliance archive (retention obligation)</t>
  </si>
  <si>
    <t>Dashboard – Distribution by Protection Class</t>
  </si>
  <si>
    <t>Number of Workloads</t>
  </si>
  <si>
    <t>Total recorded</t>
  </si>
  <si>
    <t>Example dataset (fictitious) – upload to DR_Workload_Classification.html for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</si>
</sst>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3"/>
      <name val="Arial"/>
      <charset val="1"/>
    </font>
    <font>
      <sz val="11"/>
      <name val="Arial"/>
      <charset val="1"/>
    </font>
    <font>
      <b/>
      <sz val="14"/>
      <color rgb="FFFFFFFF"/>
      <name val="Arial"/>
      <charset val="1"/>
    </font>
    <font>
      <i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00D15F"/>
        <bgColor rgb="FF00FF00"/>
      </patternFill>
    </fill>
    <fill>
      <patternFill patternType="solid">
        <fgColor rgb="FFF2F2F2"/>
        <bgColor rgb="FFF9F9F9"/>
      </patternFill>
    </fill>
    <fill>
      <patternFill patternType="solid">
        <fgColor rgb="FFFFF2CC"/>
        <bgColor rgb="FFFCEB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 applyAlignment="1">
      <alignment vertical="top" wrapText="1"/>
    </xf>
    <xf numFmtId="0" fontId="9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/>
    <xf numFmtId="0" fontId="7" fillId="0" borderId="1" xfId="0" applyFont="1" applyBorder="1"/>
    <xf numFmtId="0" fontId="8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/>
    <xf numFmtId="0" fontId="1" fillId="2" borderId="0" xfId="0" applyFont="1" applyFill="1" applyAlignment="1"/>
    <xf numFmtId="0" fontId="4" fillId="2" borderId="0" xfId="0" applyFont="1" applyFill="1" applyAlignment="1"/>
  </cellXfs>
  <cellStyles count="1">
    <cellStyle name="Normal" xfId="0" builtinId="0"/>
  </cellStyles>
  <dxfs count="5">
    <dxf>
      <font>
        <b/>
        <color rgb="FF095FC4"/>
        <name val="Arial"/>
        <charset val="1"/>
      </font>
      <fill>
        <patternFill>
          <bgColor rgb="FFDCEAFB"/>
        </patternFill>
      </fill>
    </dxf>
    <dxf>
      <font>
        <b/>
        <color rgb="FF505861"/>
        <name val="Arial"/>
        <charset val="1"/>
      </font>
      <fill>
        <patternFill>
          <bgColor rgb="FFF2F2F2"/>
        </patternFill>
      </fill>
    </dxf>
    <dxf>
      <font>
        <b/>
        <color rgb="FFB25800"/>
        <name val="Arial"/>
        <charset val="1"/>
      </font>
      <fill>
        <patternFill>
          <bgColor rgb="FFFCEBD9"/>
        </patternFill>
      </fill>
    </dxf>
    <dxf>
      <font>
        <b/>
        <color rgb="FF8E71F4"/>
        <name val="Arial"/>
        <charset val="1"/>
      </font>
      <fill>
        <patternFill>
          <bgColor rgb="FFE7E1FB"/>
        </patternFill>
      </fill>
    </dxf>
    <dxf>
      <font>
        <b/>
        <color rgb="FF232323"/>
        <name val="Arial"/>
        <charset val="1"/>
      </font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8E71F4"/>
      <rgbColor rgb="FF993366"/>
      <rgbColor rgb="FFFFF2CC"/>
      <rgbColor rgb="FFDCEAFB"/>
      <rgbColor rgb="FF660066"/>
      <rgbColor rgb="FFFF8080"/>
      <rgbColor rgb="FF095FC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9F9F9"/>
      <rgbColor rgb="FFFCEBD9"/>
      <rgbColor rgb="FF99CCFF"/>
      <rgbColor rgb="FFFF99CC"/>
      <rgbColor rgb="FFCC99FF"/>
      <rgbColor rgb="FFE7E1FB"/>
      <rgbColor rgb="FF4F81BD"/>
      <rgbColor rgb="FF00D15F"/>
      <rgbColor rgb="FF99CC00"/>
      <rgbColor rgb="FFFFCC00"/>
      <rgbColor rgb="FFFF9900"/>
      <rgbColor rgb="FFFF6600"/>
      <rgbColor rgb="FF505861"/>
      <rgbColor rgb="FF969696"/>
      <rgbColor rgb="FF003366"/>
      <rgbColor rgb="FF339966"/>
      <rgbColor rgb="FF003300"/>
      <rgbColor rgb="FF333300"/>
      <rgbColor rgb="FFB25800"/>
      <rgbColor rgb="FF993366"/>
      <rgbColor rgb="FF333399"/>
      <rgbColor rgb="FF2323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de-DE" sz="1800" b="1" u="none" strike="noStrike">
                <a:solidFill>
                  <a:srgbClr val="000000"/>
                </a:solidFill>
                <a:uFillTx/>
                <a:latin typeface="Calibri"/>
              </a:rPr>
              <a:t>Workloads per Protection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Number of Workloads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Dashboard!$A$4:$A$8</c:f>
              <c:strCache>
                <c:ptCount val="5"/>
                <c:pt idx="0">
                  <c:v>Tier 0 – Foundation</c:v>
                </c:pt>
                <c:pt idx="1">
                  <c:v>Tier 1 – Platinum</c:v>
                </c:pt>
                <c:pt idx="2">
                  <c:v>Tier 2 – Gold</c:v>
                </c:pt>
                <c:pt idx="3">
                  <c:v>Tier 3 – Silver</c:v>
                </c:pt>
                <c:pt idx="4">
                  <c:v>Tier 4 – Bronze</c:v>
                </c:pt>
              </c:strCache>
            </c:strRef>
          </c:cat>
          <c:val>
            <c:numRef>
              <c:f>Dashboard!$B$4:$B$8</c:f>
              <c:numCache>
                <c:formatCode>General</c:formatCode>
                <c:ptCount val="5"/>
                <c:pt idx="0">
                  <c:v>6</c:v>
                </c:pt>
                <c:pt idx="1">
                  <c:v>10</c:v>
                </c:pt>
                <c:pt idx="2">
                  <c:v>21</c:v>
                </c:pt>
                <c:pt idx="3">
                  <c:v>30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2-4905-BB41-5F0A927A0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43638"/>
        <c:axId val="28934526"/>
      </c:barChart>
      <c:catAx>
        <c:axId val="98436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de-DE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Protection Class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8934526"/>
        <c:crosses val="autoZero"/>
        <c:auto val="1"/>
        <c:lblAlgn val="ctr"/>
        <c:lblOffset val="100"/>
        <c:noMultiLvlLbl val="0"/>
      </c:catAx>
      <c:valAx>
        <c:axId val="289345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de-DE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Number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84363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12</xdr:col>
      <xdr:colOff>255240</xdr:colOff>
      <xdr:row>18</xdr:row>
      <xdr:rowOff>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topLeftCell="A10" zoomScaleNormal="100" workbookViewId="0">
      <selection activeCell="B11" sqref="B11"/>
    </sheetView>
  </sheetViews>
  <sheetFormatPr defaultColWidth="8.7109375" defaultRowHeight="15"/>
  <cols>
    <col min="1" max="1" width="4" customWidth="1"/>
    <col min="2" max="2" width="110" customWidth="1"/>
  </cols>
  <sheetData>
    <row r="1" spans="1:2" ht="27.75" customHeight="1">
      <c r="A1" s="14" t="s">
        <v>0</v>
      </c>
      <c r="B1" s="14"/>
    </row>
    <row r="3" spans="1:2" ht="15.75" customHeight="1">
      <c r="B3" s="3" t="s">
        <v>1</v>
      </c>
    </row>
    <row r="4" spans="1:2" ht="96" customHeight="1">
      <c r="B4" s="4" t="s">
        <v>2</v>
      </c>
    </row>
    <row r="6" spans="1:2" ht="15.75" customHeight="1">
      <c r="B6" s="3" t="s">
        <v>3</v>
      </c>
    </row>
    <row r="7" spans="1:2" ht="64.5" customHeight="1">
      <c r="B7" s="4" t="s">
        <v>4</v>
      </c>
    </row>
    <row r="8" spans="1:2">
      <c r="B8" t="s">
        <v>5</v>
      </c>
    </row>
    <row r="9" spans="1:2" ht="15.75" customHeight="1">
      <c r="B9" s="3" t="s">
        <v>6</v>
      </c>
    </row>
    <row r="10" spans="1:2" ht="107.25" customHeight="1">
      <c r="B10" s="4" t="s">
        <v>7</v>
      </c>
    </row>
    <row r="11" spans="1:2">
      <c r="B11" t="s">
        <v>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showGridLines="0" zoomScaleNormal="100" workbookViewId="0">
      <selection activeCell="A2" sqref="A2:G2"/>
    </sheetView>
  </sheetViews>
  <sheetFormatPr defaultColWidth="8.7109375" defaultRowHeight="15"/>
  <cols>
    <col min="1" max="1" width="22" customWidth="1"/>
    <col min="2" max="2" width="24" customWidth="1"/>
    <col min="3" max="4" width="20" customWidth="1"/>
    <col min="5" max="5" width="12" customWidth="1"/>
    <col min="6" max="6" width="20" customWidth="1"/>
    <col min="7" max="7" width="30" customWidth="1"/>
  </cols>
  <sheetData>
    <row r="1" spans="1:7" ht="24" customHeight="1">
      <c r="A1" s="15" t="s">
        <v>9</v>
      </c>
      <c r="B1" s="15"/>
      <c r="C1" s="15"/>
      <c r="D1" s="15"/>
      <c r="E1" s="15"/>
      <c r="F1" s="15"/>
      <c r="G1" s="15"/>
    </row>
    <row r="2" spans="1:7" ht="30" customHeight="1">
      <c r="A2" s="1" t="s">
        <v>10</v>
      </c>
      <c r="B2" s="1"/>
      <c r="C2" s="1"/>
      <c r="D2" s="1"/>
      <c r="E2" s="1"/>
      <c r="F2" s="1"/>
      <c r="G2" s="1"/>
    </row>
    <row r="4" spans="1:7" ht="34.5" customHeight="1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topLeftCell="A12" zoomScaleNormal="100" workbookViewId="0">
      <selection activeCell="E37" sqref="E37"/>
    </sheetView>
  </sheetViews>
  <sheetFormatPr defaultColWidth="8.7109375" defaultRowHeight="15"/>
  <cols>
    <col min="1" max="1" width="14" customWidth="1"/>
    <col min="2" max="3" width="22" customWidth="1"/>
    <col min="4" max="4" width="16" customWidth="1"/>
    <col min="5" max="5" width="45" customWidth="1"/>
    <col min="6" max="6" width="32" customWidth="1"/>
    <col min="7" max="7" width="16" customWidth="1"/>
    <col min="8" max="8" width="14" customWidth="1"/>
  </cols>
  <sheetData>
    <row r="1" spans="1:8" ht="24" customHeight="1">
      <c r="A1" s="15" t="s">
        <v>18</v>
      </c>
      <c r="B1" s="15"/>
      <c r="C1" s="15"/>
      <c r="D1" s="15"/>
      <c r="E1" s="15"/>
      <c r="F1" s="15"/>
      <c r="G1" s="15"/>
    </row>
    <row r="2" spans="1:8" ht="15" customHeight="1">
      <c r="A2" t="s">
        <v>19</v>
      </c>
    </row>
    <row r="3" spans="1:8" ht="15" customHeight="1">
      <c r="A3" s="6" t="s">
        <v>20</v>
      </c>
      <c r="B3" s="6" t="s">
        <v>21</v>
      </c>
    </row>
    <row r="4" spans="1:8" ht="15" customHeight="1">
      <c r="A4" s="7">
        <v>0</v>
      </c>
      <c r="B4" s="7" t="s">
        <v>22</v>
      </c>
    </row>
    <row r="5" spans="1:8" ht="15" customHeight="1">
      <c r="A5" s="7">
        <v>2.5</v>
      </c>
      <c r="B5" s="7" t="s">
        <v>23</v>
      </c>
    </row>
    <row r="6" spans="1:8" ht="15" customHeight="1">
      <c r="A6" s="7">
        <v>3.5</v>
      </c>
      <c r="B6" s="7" t="s">
        <v>24</v>
      </c>
    </row>
    <row r="7" spans="1:8" ht="15" customHeight="1">
      <c r="A7" s="7">
        <v>4.3</v>
      </c>
      <c r="B7" s="7" t="s">
        <v>25</v>
      </c>
    </row>
    <row r="9" spans="1:8" ht="15" customHeight="1">
      <c r="A9" t="s">
        <v>26</v>
      </c>
    </row>
    <row r="11" spans="1:8" ht="31.5" customHeight="1">
      <c r="B11" s="5" t="s">
        <v>27</v>
      </c>
      <c r="C11" s="5" t="s">
        <v>28</v>
      </c>
      <c r="D11" s="5" t="s">
        <v>29</v>
      </c>
      <c r="E11" s="5" t="s">
        <v>30</v>
      </c>
      <c r="F11" s="5" t="s">
        <v>31</v>
      </c>
      <c r="G11" s="5" t="s">
        <v>32</v>
      </c>
      <c r="H11" s="5" t="s">
        <v>33</v>
      </c>
    </row>
    <row r="12" spans="1:8" ht="54.75" customHeight="1">
      <c r="B12" s="8" t="s">
        <v>34</v>
      </c>
      <c r="C12" s="9" t="s">
        <v>35</v>
      </c>
      <c r="D12" s="9" t="s">
        <v>36</v>
      </c>
      <c r="E12" s="9" t="s">
        <v>37</v>
      </c>
      <c r="F12" s="9" t="s">
        <v>38</v>
      </c>
      <c r="G12" s="9" t="s">
        <v>39</v>
      </c>
      <c r="H12" s="9">
        <v>0</v>
      </c>
    </row>
    <row r="13" spans="1:8" ht="54.75" customHeight="1">
      <c r="B13" s="8" t="s">
        <v>25</v>
      </c>
      <c r="C13" s="9" t="s">
        <v>40</v>
      </c>
      <c r="D13" s="9" t="s">
        <v>41</v>
      </c>
      <c r="E13" s="9" t="s">
        <v>42</v>
      </c>
      <c r="F13" s="9" t="s">
        <v>43</v>
      </c>
      <c r="G13" s="9" t="s">
        <v>44</v>
      </c>
      <c r="H13" s="9">
        <v>1</v>
      </c>
    </row>
    <row r="14" spans="1:8" ht="54.75" customHeight="1">
      <c r="B14" s="8" t="s">
        <v>24</v>
      </c>
      <c r="C14" s="9" t="s">
        <v>41</v>
      </c>
      <c r="D14" s="9" t="s">
        <v>45</v>
      </c>
      <c r="E14" s="9" t="s">
        <v>46</v>
      </c>
      <c r="F14" s="9" t="s">
        <v>47</v>
      </c>
      <c r="G14" s="9" t="s">
        <v>48</v>
      </c>
      <c r="H14" s="9">
        <v>2</v>
      </c>
    </row>
    <row r="15" spans="1:8" ht="54.75" customHeight="1">
      <c r="B15" s="8" t="s">
        <v>23</v>
      </c>
      <c r="C15" s="9" t="s">
        <v>45</v>
      </c>
      <c r="D15" s="9" t="s">
        <v>49</v>
      </c>
      <c r="E15" s="9" t="s">
        <v>50</v>
      </c>
      <c r="F15" s="9" t="s">
        <v>51</v>
      </c>
      <c r="G15" s="9" t="s">
        <v>52</v>
      </c>
      <c r="H15" s="9">
        <v>3</v>
      </c>
    </row>
    <row r="16" spans="1:8" ht="54.75" customHeight="1">
      <c r="B16" s="8" t="s">
        <v>22</v>
      </c>
      <c r="C16" s="9" t="s">
        <v>49</v>
      </c>
      <c r="D16" s="9" t="s">
        <v>53</v>
      </c>
      <c r="E16" s="9" t="s">
        <v>54</v>
      </c>
      <c r="F16" s="9" t="s">
        <v>55</v>
      </c>
      <c r="G16" s="9" t="s">
        <v>56</v>
      </c>
      <c r="H16" s="9">
        <v>4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16"/>
  <sheetViews>
    <sheetView showGridLines="0" tabSelected="1" zoomScaleNormal="100" workbookViewId="0">
      <pane xSplit="1" ySplit="1" topLeftCell="D2" activePane="bottomRight" state="frozen"/>
      <selection pane="bottomRight" activeCell="D3" sqref="D3"/>
      <selection pane="bottomLeft" activeCell="A2" sqref="A2"/>
      <selection pane="topRight" activeCell="B1" sqref="B1"/>
    </sheetView>
  </sheetViews>
  <sheetFormatPr defaultColWidth="8.7109375" defaultRowHeight="15"/>
  <cols>
    <col min="1" max="1" width="4" customWidth="1"/>
    <col min="2" max="3" width="26" customWidth="1"/>
    <col min="4" max="4" width="40" customWidth="1"/>
    <col min="5" max="5" width="12" customWidth="1"/>
    <col min="6" max="9" width="11" customWidth="1"/>
    <col min="10" max="10" width="8" customWidth="1"/>
    <col min="11" max="11" width="20" customWidth="1"/>
    <col min="12" max="13" width="14" customWidth="1"/>
    <col min="14" max="14" width="34" customWidth="1"/>
    <col min="15" max="16" width="14" customWidth="1"/>
    <col min="17" max="17" width="40" customWidth="1"/>
    <col min="18" max="18" width="22" customWidth="1"/>
  </cols>
  <sheetData>
    <row r="1" spans="1:18" ht="43.5" customHeight="1">
      <c r="A1" s="5" t="s">
        <v>57</v>
      </c>
      <c r="B1" s="5" t="s">
        <v>11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  <c r="K1" s="5" t="s">
        <v>66</v>
      </c>
      <c r="L1" s="5" t="s">
        <v>28</v>
      </c>
      <c r="M1" s="5" t="s">
        <v>29</v>
      </c>
      <c r="N1" s="5" t="s">
        <v>67</v>
      </c>
      <c r="O1" s="5" t="s">
        <v>68</v>
      </c>
      <c r="P1" s="5" t="s">
        <v>69</v>
      </c>
      <c r="Q1" s="5" t="s">
        <v>70</v>
      </c>
      <c r="R1" s="5" t="s">
        <v>71</v>
      </c>
    </row>
    <row r="2" spans="1:18" ht="25.5" customHeight="1">
      <c r="A2" s="7">
        <v>1</v>
      </c>
      <c r="B2" s="10" t="s">
        <v>72</v>
      </c>
      <c r="C2" s="10" t="s">
        <v>73</v>
      </c>
      <c r="D2" s="10" t="s">
        <v>74</v>
      </c>
      <c r="E2" s="10" t="s">
        <v>75</v>
      </c>
      <c r="F2" s="10">
        <v>5</v>
      </c>
      <c r="G2" s="10">
        <v>2</v>
      </c>
      <c r="H2" s="10">
        <v>2</v>
      </c>
      <c r="I2" s="10">
        <v>3</v>
      </c>
      <c r="J2" s="11">
        <f>IF(COUNTBLANK(F2:H2)&gt;0,"",F2*0.45+G2*0.35+H2*0.2)</f>
        <v>3.35</v>
      </c>
      <c r="K2" s="11" t="str">
        <f>IF(J2="","",IF(OR(E2="Ja",E2="Yes"),"Tier 0 – Foundation",INDEX('Class-Matrix'!$B$4:$B$7,MATCH(J2,'Class-Matrix'!$A$4:$A$7,1))))</f>
        <v>Tier 0 – Foundation</v>
      </c>
      <c r="L2" s="12" t="str">
        <f>IF(K2="","",VLOOKUP(K2,'Class-Matrix'!$B$12:$H$16,2,FALSE()))</f>
        <v>≈ 0 (continuous replication)</v>
      </c>
      <c r="M2" s="12" t="str">
        <f>IF(K2="","",VLOOKUP(K2,'Class-Matrix'!$B$12:$H$16,3,FALSE()))</f>
        <v>&lt; 30 min</v>
      </c>
      <c r="N2" s="12" t="str">
        <f>IF(K2="","",VLOOKUP(K2,'Class-Matrix'!$B$12:$H$16,4,FALSE()))</f>
        <v>CDP / continuous replication, immutability on-premises + cloud, highest VRO runbook priority</v>
      </c>
      <c r="O2" s="10"/>
      <c r="P2" s="10"/>
      <c r="Q2" s="10"/>
      <c r="R2" s="10"/>
    </row>
    <row r="3" spans="1:18" ht="25.5" customHeight="1">
      <c r="A3" s="7">
        <v>2</v>
      </c>
      <c r="B3" s="10" t="s">
        <v>76</v>
      </c>
      <c r="C3" s="10" t="s">
        <v>77</v>
      </c>
      <c r="D3" s="10" t="s">
        <v>78</v>
      </c>
      <c r="E3" s="10" t="s">
        <v>75</v>
      </c>
      <c r="F3" s="10">
        <v>5</v>
      </c>
      <c r="G3" s="10">
        <v>4</v>
      </c>
      <c r="H3" s="10">
        <v>2</v>
      </c>
      <c r="I3" s="10">
        <v>3</v>
      </c>
      <c r="J3" s="11">
        <f>IF(COUNTBLANK(F3:H3)&gt;0,"",F3*0.45+G3*0.35+H3*0.2)</f>
        <v>4.05</v>
      </c>
      <c r="K3" s="11" t="str">
        <f>IF(J3="","",IF(OR(E3="Ja",E3="Yes"),"Tier 0 – Foundation",INDEX('Class-Matrix'!$B$4:$B$7,MATCH(J3,'Class-Matrix'!$A$4:$A$7,1))))</f>
        <v>Tier 0 – Foundation</v>
      </c>
      <c r="L3" s="12" t="str">
        <f>IF(K3="","",VLOOKUP(K3,'Class-Matrix'!$B$12:$H$16,2,FALSE()))</f>
        <v>≈ 0 (continuous replication)</v>
      </c>
      <c r="M3" s="12" t="str">
        <f>IF(K3="","",VLOOKUP(K3,'Class-Matrix'!$B$12:$H$16,3,FALSE()))</f>
        <v>&lt; 30 min</v>
      </c>
      <c r="N3" s="12" t="str">
        <f>IF(K3="","",VLOOKUP(K3,'Class-Matrix'!$B$12:$H$16,4,FALSE()))</f>
        <v>CDP / continuous replication, immutability on-premises + cloud, highest VRO runbook priority</v>
      </c>
      <c r="O3" s="10"/>
      <c r="P3" s="10"/>
      <c r="Q3" s="10"/>
      <c r="R3" s="10"/>
    </row>
    <row r="4" spans="1:18" ht="25.5" customHeight="1">
      <c r="A4" s="7">
        <v>3</v>
      </c>
      <c r="B4" s="10" t="s">
        <v>79</v>
      </c>
      <c r="C4" s="10" t="s">
        <v>80</v>
      </c>
      <c r="D4" s="10" t="s">
        <v>81</v>
      </c>
      <c r="E4" s="10" t="s">
        <v>75</v>
      </c>
      <c r="F4" s="10">
        <v>5</v>
      </c>
      <c r="G4" s="10">
        <v>3</v>
      </c>
      <c r="H4" s="10">
        <v>2</v>
      </c>
      <c r="I4" s="10">
        <v>5</v>
      </c>
      <c r="J4" s="11">
        <f>IF(COUNTBLANK(F4:H4)&gt;0,"",F4*0.45+G4*0.35+H4*0.2)</f>
        <v>3.6999999999999997</v>
      </c>
      <c r="K4" s="11" t="str">
        <f>IF(J4="","",IF(OR(E4="Ja",E4="Yes"),"Tier 0 – Foundation",INDEX('Class-Matrix'!$B$4:$B$7,MATCH(J4,'Class-Matrix'!$A$4:$A$7,1))))</f>
        <v>Tier 0 – Foundation</v>
      </c>
      <c r="L4" s="12" t="str">
        <f>IF(K4="","",VLOOKUP(K4,'Class-Matrix'!$B$12:$H$16,2,FALSE()))</f>
        <v>≈ 0 (continuous replication)</v>
      </c>
      <c r="M4" s="12" t="str">
        <f>IF(K4="","",VLOOKUP(K4,'Class-Matrix'!$B$12:$H$16,3,FALSE()))</f>
        <v>&lt; 30 min</v>
      </c>
      <c r="N4" s="12" t="str">
        <f>IF(K4="","",VLOOKUP(K4,'Class-Matrix'!$B$12:$H$16,4,FALSE()))</f>
        <v>CDP / continuous replication, immutability on-premises + cloud, highest VRO runbook priority</v>
      </c>
      <c r="O4" s="10"/>
      <c r="P4" s="10"/>
      <c r="Q4" s="10"/>
      <c r="R4" s="10"/>
    </row>
    <row r="5" spans="1:18" ht="25.5" customHeight="1">
      <c r="A5" s="7">
        <v>4</v>
      </c>
      <c r="B5" s="10" t="s">
        <v>82</v>
      </c>
      <c r="C5" s="10" t="s">
        <v>83</v>
      </c>
      <c r="D5" s="10" t="s">
        <v>84</v>
      </c>
      <c r="E5" s="10" t="s">
        <v>75</v>
      </c>
      <c r="F5" s="10">
        <v>5</v>
      </c>
      <c r="G5" s="10">
        <v>4</v>
      </c>
      <c r="H5" s="10">
        <v>2</v>
      </c>
      <c r="I5" s="10">
        <v>4</v>
      </c>
      <c r="J5" s="11">
        <f>IF(COUNTBLANK(F5:H5)&gt;0,"",F5*0.45+G5*0.35+H5*0.2)</f>
        <v>4.05</v>
      </c>
      <c r="K5" s="11" t="str">
        <f>IF(J5="","",IF(OR(E5="Ja",E5="Yes"),"Tier 0 – Foundation",INDEX('Class-Matrix'!$B$4:$B$7,MATCH(J5,'Class-Matrix'!$A$4:$A$7,1))))</f>
        <v>Tier 0 – Foundation</v>
      </c>
      <c r="L5" s="12" t="str">
        <f>IF(K5="","",VLOOKUP(K5,'Class-Matrix'!$B$12:$H$16,2,FALSE()))</f>
        <v>≈ 0 (continuous replication)</v>
      </c>
      <c r="M5" s="12" t="str">
        <f>IF(K5="","",VLOOKUP(K5,'Class-Matrix'!$B$12:$H$16,3,FALSE()))</f>
        <v>&lt; 30 min</v>
      </c>
      <c r="N5" s="12" t="str">
        <f>IF(K5="","",VLOOKUP(K5,'Class-Matrix'!$B$12:$H$16,4,FALSE()))</f>
        <v>CDP / continuous replication, immutability on-premises + cloud, highest VRO runbook priority</v>
      </c>
      <c r="O5" s="10"/>
      <c r="P5" s="10"/>
      <c r="Q5" s="10"/>
      <c r="R5" s="10"/>
    </row>
    <row r="6" spans="1:18" ht="25.5" customHeight="1">
      <c r="A6" s="7">
        <v>5</v>
      </c>
      <c r="B6" s="10" t="s">
        <v>85</v>
      </c>
      <c r="C6" s="10" t="s">
        <v>86</v>
      </c>
      <c r="D6" s="10" t="s">
        <v>87</v>
      </c>
      <c r="E6" s="10" t="s">
        <v>75</v>
      </c>
      <c r="F6" s="10">
        <v>5</v>
      </c>
      <c r="G6" s="10">
        <v>3</v>
      </c>
      <c r="H6" s="10">
        <v>2</v>
      </c>
      <c r="I6" s="10">
        <v>5</v>
      </c>
      <c r="J6" s="11">
        <f>IF(COUNTBLANK(F6:H6)&gt;0,"",F6*0.45+G6*0.35+H6*0.2)</f>
        <v>3.6999999999999997</v>
      </c>
      <c r="K6" s="11" t="str">
        <f>IF(J6="","",IF(OR(E6="Ja",E6="Yes"),"Tier 0 – Foundation",INDEX('Class-Matrix'!$B$4:$B$7,MATCH(J6,'Class-Matrix'!$A$4:$A$7,1))))</f>
        <v>Tier 0 – Foundation</v>
      </c>
      <c r="L6" s="12" t="str">
        <f>IF(K6="","",VLOOKUP(K6,'Class-Matrix'!$B$12:$H$16,2,FALSE()))</f>
        <v>≈ 0 (continuous replication)</v>
      </c>
      <c r="M6" s="12" t="str">
        <f>IF(K6="","",VLOOKUP(K6,'Class-Matrix'!$B$12:$H$16,3,FALSE()))</f>
        <v>&lt; 30 min</v>
      </c>
      <c r="N6" s="12" t="str">
        <f>IF(K6="","",VLOOKUP(K6,'Class-Matrix'!$B$12:$H$16,4,FALSE()))</f>
        <v>CDP / continuous replication, immutability on-premises + cloud, highest VRO runbook priority</v>
      </c>
      <c r="O6" s="10"/>
      <c r="P6" s="10"/>
      <c r="Q6" s="10"/>
      <c r="R6" s="10"/>
    </row>
    <row r="7" spans="1:18" ht="25.5" customHeight="1">
      <c r="A7" s="7">
        <v>6</v>
      </c>
      <c r="B7" s="10" t="s">
        <v>88</v>
      </c>
      <c r="C7" s="10" t="s">
        <v>89</v>
      </c>
      <c r="D7" s="10" t="s">
        <v>90</v>
      </c>
      <c r="E7" s="10" t="s">
        <v>75</v>
      </c>
      <c r="F7" s="10">
        <v>5</v>
      </c>
      <c r="G7" s="10">
        <v>3</v>
      </c>
      <c r="H7" s="10">
        <v>2</v>
      </c>
      <c r="I7" s="10">
        <v>4</v>
      </c>
      <c r="J7" s="11">
        <f>IF(COUNTBLANK(F7:H7)&gt;0,"",F7*0.45+G7*0.35+H7*0.2)</f>
        <v>3.6999999999999997</v>
      </c>
      <c r="K7" s="11" t="str">
        <f>IF(J7="","",IF(OR(E7="Ja",E7="Yes"),"Tier 0 – Foundation",INDEX('Class-Matrix'!$B$4:$B$7,MATCH(J7,'Class-Matrix'!$A$4:$A$7,1))))</f>
        <v>Tier 0 – Foundation</v>
      </c>
      <c r="L7" s="12" t="str">
        <f>IF(K7="","",VLOOKUP(K7,'Class-Matrix'!$B$12:$H$16,2,FALSE()))</f>
        <v>≈ 0 (continuous replication)</v>
      </c>
      <c r="M7" s="12" t="str">
        <f>IF(K7="","",VLOOKUP(K7,'Class-Matrix'!$B$12:$H$16,3,FALSE()))</f>
        <v>&lt; 30 min</v>
      </c>
      <c r="N7" s="12" t="str">
        <f>IF(K7="","",VLOOKUP(K7,'Class-Matrix'!$B$12:$H$16,4,FALSE()))</f>
        <v>CDP / continuous replication, immutability on-premises + cloud, highest VRO runbook priority</v>
      </c>
      <c r="O7" s="10"/>
      <c r="P7" s="10"/>
      <c r="Q7" s="10"/>
      <c r="R7" s="10"/>
    </row>
    <row r="8" spans="1:18" ht="25.5" customHeight="1">
      <c r="A8" s="7">
        <v>7</v>
      </c>
      <c r="B8" s="10" t="s">
        <v>91</v>
      </c>
      <c r="C8" s="10" t="s">
        <v>89</v>
      </c>
      <c r="D8" s="10" t="s">
        <v>92</v>
      </c>
      <c r="E8" s="10" t="s">
        <v>93</v>
      </c>
      <c r="F8" s="10">
        <v>5</v>
      </c>
      <c r="G8" s="10">
        <v>3</v>
      </c>
      <c r="H8" s="10">
        <v>3</v>
      </c>
      <c r="I8" s="10">
        <v>2</v>
      </c>
      <c r="J8" s="11">
        <f>IF(COUNTBLANK(F8:H8)&gt;0,"",F8*0.45+G8*0.35+H8*0.2)</f>
        <v>3.9</v>
      </c>
      <c r="K8" s="11" t="str">
        <f>IF(J8="","",IF(OR(E8="Ja",E8="Yes"),"Tier 0 – Foundation",INDEX('Class-Matrix'!$B$4:$B$7,MATCH(J8,'Class-Matrix'!$A$4:$A$7,1))))</f>
        <v>Tier 2 – Gold</v>
      </c>
      <c r="L8" s="12" t="str">
        <f>IF(K8="","",VLOOKUP(K8,'Class-Matrix'!$B$12:$H$16,2,FALSE()))</f>
        <v>&lt; 1 h</v>
      </c>
      <c r="M8" s="12" t="str">
        <f>IF(K8="","",VLOOKUP(K8,'Class-Matrix'!$B$12:$H$16,3,FALSE()))</f>
        <v>&lt; 4 h</v>
      </c>
      <c r="N8" s="12" t="str">
        <f>IF(K8="","",VLOOKUP(K8,'Class-Matrix'!$B$12:$H$16,4,FALSE()))</f>
        <v>Multiple daily backups + optional replication, semi-automated VRO runbook</v>
      </c>
      <c r="O8" s="10"/>
      <c r="P8" s="10"/>
      <c r="Q8" s="10"/>
      <c r="R8" s="10" t="s">
        <v>94</v>
      </c>
    </row>
    <row r="9" spans="1:18" ht="25.5" customHeight="1">
      <c r="A9" s="7">
        <v>8</v>
      </c>
      <c r="B9" s="10" t="s">
        <v>95</v>
      </c>
      <c r="C9" s="10" t="s">
        <v>96</v>
      </c>
      <c r="D9" s="10" t="s">
        <v>97</v>
      </c>
      <c r="E9" s="10" t="s">
        <v>93</v>
      </c>
      <c r="F9" s="10">
        <v>5</v>
      </c>
      <c r="G9" s="10">
        <v>4</v>
      </c>
      <c r="H9" s="10">
        <v>5</v>
      </c>
      <c r="I9" s="10">
        <v>2</v>
      </c>
      <c r="J9" s="11">
        <f>IF(COUNTBLANK(F9:H9)&gt;0,"",F9*0.45+G9*0.35+H9*0.2)</f>
        <v>4.6500000000000004</v>
      </c>
      <c r="K9" s="11" t="str">
        <f>IF(J9="","",IF(OR(E9="Ja",E9="Yes"),"Tier 0 – Foundation",INDEX('Class-Matrix'!$B$4:$B$7,MATCH(J9,'Class-Matrix'!$A$4:$A$7,1))))</f>
        <v>Tier 1 – Platinum</v>
      </c>
      <c r="L9" s="12" t="str">
        <f>IF(K9="","",VLOOKUP(K9,'Class-Matrix'!$B$12:$H$16,2,FALSE()))</f>
        <v>&lt; 15 min</v>
      </c>
      <c r="M9" s="12" t="str">
        <f>IF(K9="","",VLOOKUP(K9,'Class-Matrix'!$B$12:$H$16,3,FALSE()))</f>
        <v>&lt; 1 h</v>
      </c>
      <c r="N9" s="12" t="str">
        <f>IF(K9="","",VLOOKUP(K9,'Class-Matrix'!$B$12:$H$16,4,FALSE()))</f>
        <v>Near-CDP replication + immutable backup, automated VRO orchestration plan with failover</v>
      </c>
      <c r="O9" s="10"/>
      <c r="P9" s="10"/>
      <c r="Q9" s="10"/>
      <c r="R9" s="10" t="s">
        <v>94</v>
      </c>
    </row>
    <row r="10" spans="1:18" ht="25.5" customHeight="1">
      <c r="A10" s="7">
        <v>9</v>
      </c>
      <c r="B10" s="10" t="s">
        <v>98</v>
      </c>
      <c r="C10" s="10" t="s">
        <v>83</v>
      </c>
      <c r="D10" s="10" t="s">
        <v>99</v>
      </c>
      <c r="E10" s="10" t="s">
        <v>93</v>
      </c>
      <c r="F10" s="10">
        <v>5</v>
      </c>
      <c r="G10" s="10">
        <v>5</v>
      </c>
      <c r="H10" s="10">
        <v>5</v>
      </c>
      <c r="I10" s="10">
        <v>3</v>
      </c>
      <c r="J10" s="11">
        <f>IF(COUNTBLANK(F10:H10)&gt;0,"",F10*0.45+G10*0.35+H10*0.2)</f>
        <v>5</v>
      </c>
      <c r="K10" s="11" t="str">
        <f>IF(J10="","",IF(OR(E10="Ja",E10="Yes"),"Tier 0 – Foundation",INDEX('Class-Matrix'!$B$4:$B$7,MATCH(J10,'Class-Matrix'!$A$4:$A$7,1))))</f>
        <v>Tier 1 – Platinum</v>
      </c>
      <c r="L10" s="12" t="str">
        <f>IF(K10="","",VLOOKUP(K10,'Class-Matrix'!$B$12:$H$16,2,FALSE()))</f>
        <v>&lt; 15 min</v>
      </c>
      <c r="M10" s="12" t="str">
        <f>IF(K10="","",VLOOKUP(K10,'Class-Matrix'!$B$12:$H$16,3,FALSE()))</f>
        <v>&lt; 1 h</v>
      </c>
      <c r="N10" s="12" t="str">
        <f>IF(K10="","",VLOOKUP(K10,'Class-Matrix'!$B$12:$H$16,4,FALSE()))</f>
        <v>Near-CDP replication + immutable backup, automated VRO orchestration plan with failover</v>
      </c>
      <c r="O10" s="10"/>
      <c r="P10" s="10"/>
      <c r="Q10" s="10"/>
      <c r="R10" s="10" t="s">
        <v>94</v>
      </c>
    </row>
    <row r="11" spans="1:18" ht="25.5" customHeight="1">
      <c r="A11" s="7">
        <v>10</v>
      </c>
      <c r="B11" s="10" t="s">
        <v>100</v>
      </c>
      <c r="C11" s="10" t="s">
        <v>77</v>
      </c>
      <c r="D11" s="10" t="s">
        <v>101</v>
      </c>
      <c r="E11" s="10" t="s">
        <v>93</v>
      </c>
      <c r="F11" s="10">
        <v>4</v>
      </c>
      <c r="G11" s="10">
        <v>3</v>
      </c>
      <c r="H11" s="10">
        <v>4</v>
      </c>
      <c r="I11" s="10">
        <v>3</v>
      </c>
      <c r="J11" s="11">
        <f>IF(COUNTBLANK(F11:H11)&gt;0,"",F11*0.45+G11*0.35+H11*0.2)</f>
        <v>3.6499999999999995</v>
      </c>
      <c r="K11" s="11" t="str">
        <f>IF(J11="","",IF(OR(E11="Ja",E11="Yes"),"Tier 0 – Foundation",INDEX('Class-Matrix'!$B$4:$B$7,MATCH(J11,'Class-Matrix'!$A$4:$A$7,1))))</f>
        <v>Tier 2 – Gold</v>
      </c>
      <c r="L11" s="12" t="str">
        <f>IF(K11="","",VLOOKUP(K11,'Class-Matrix'!$B$12:$H$16,2,FALSE()))</f>
        <v>&lt; 1 h</v>
      </c>
      <c r="M11" s="12" t="str">
        <f>IF(K11="","",VLOOKUP(K11,'Class-Matrix'!$B$12:$H$16,3,FALSE()))</f>
        <v>&lt; 4 h</v>
      </c>
      <c r="N11" s="12" t="str">
        <f>IF(K11="","",VLOOKUP(K11,'Class-Matrix'!$B$12:$H$16,4,FALSE()))</f>
        <v>Multiple daily backups + optional replication, semi-automated VRO runbook</v>
      </c>
      <c r="O11" s="10"/>
      <c r="P11" s="10"/>
      <c r="Q11" s="10"/>
      <c r="R11" s="10" t="s">
        <v>94</v>
      </c>
    </row>
    <row r="12" spans="1:18" ht="25.5" customHeight="1">
      <c r="A12" s="7">
        <v>11</v>
      </c>
      <c r="B12" s="10" t="s">
        <v>102</v>
      </c>
      <c r="C12" s="10" t="s">
        <v>73</v>
      </c>
      <c r="D12" s="10" t="s">
        <v>103</v>
      </c>
      <c r="E12" s="10" t="s">
        <v>93</v>
      </c>
      <c r="F12" s="10">
        <v>4</v>
      </c>
      <c r="G12" s="10">
        <v>4</v>
      </c>
      <c r="H12" s="10">
        <v>5</v>
      </c>
      <c r="I12" s="10">
        <v>3</v>
      </c>
      <c r="J12" s="11">
        <f>IF(COUNTBLANK(F12:H12)&gt;0,"",F12*0.45+G12*0.35+H12*0.2)</f>
        <v>4.2</v>
      </c>
      <c r="K12" s="11" t="str">
        <f>IF(J12="","",IF(OR(E12="Ja",E12="Yes"),"Tier 0 – Foundation",INDEX('Class-Matrix'!$B$4:$B$7,MATCH(J12,'Class-Matrix'!$A$4:$A$7,1))))</f>
        <v>Tier 2 – Gold</v>
      </c>
      <c r="L12" s="12" t="str">
        <f>IF(K12="","",VLOOKUP(K12,'Class-Matrix'!$B$12:$H$16,2,FALSE()))</f>
        <v>&lt; 1 h</v>
      </c>
      <c r="M12" s="12" t="str">
        <f>IF(K12="","",VLOOKUP(K12,'Class-Matrix'!$B$12:$H$16,3,FALSE()))</f>
        <v>&lt; 4 h</v>
      </c>
      <c r="N12" s="12" t="str">
        <f>IF(K12="","",VLOOKUP(K12,'Class-Matrix'!$B$12:$H$16,4,FALSE()))</f>
        <v>Multiple daily backups + optional replication, semi-automated VRO runbook</v>
      </c>
      <c r="O12" s="10"/>
      <c r="P12" s="10"/>
      <c r="Q12" s="10"/>
      <c r="R12" s="10" t="s">
        <v>94</v>
      </c>
    </row>
    <row r="13" spans="1:18" ht="25.5" customHeight="1">
      <c r="A13" s="7">
        <v>12</v>
      </c>
      <c r="B13" s="10" t="s">
        <v>104</v>
      </c>
      <c r="C13" s="10" t="s">
        <v>83</v>
      </c>
      <c r="D13" s="10" t="s">
        <v>105</v>
      </c>
      <c r="E13" s="10" t="s">
        <v>93</v>
      </c>
      <c r="F13" s="10">
        <v>5</v>
      </c>
      <c r="G13" s="10">
        <v>3</v>
      </c>
      <c r="H13" s="10">
        <v>4</v>
      </c>
      <c r="I13" s="10">
        <v>3</v>
      </c>
      <c r="J13" s="11">
        <f>IF(COUNTBLANK(F13:H13)&gt;0,"",F13*0.45+G13*0.35+H13*0.2)</f>
        <v>4.0999999999999996</v>
      </c>
      <c r="K13" s="11" t="str">
        <f>IF(J13="","",IF(OR(E13="Ja",E13="Yes"),"Tier 0 – Foundation",INDEX('Class-Matrix'!$B$4:$B$7,MATCH(J13,'Class-Matrix'!$A$4:$A$7,1))))</f>
        <v>Tier 2 – Gold</v>
      </c>
      <c r="L13" s="12" t="str">
        <f>IF(K13="","",VLOOKUP(K13,'Class-Matrix'!$B$12:$H$16,2,FALSE()))</f>
        <v>&lt; 1 h</v>
      </c>
      <c r="M13" s="12" t="str">
        <f>IF(K13="","",VLOOKUP(K13,'Class-Matrix'!$B$12:$H$16,3,FALSE()))</f>
        <v>&lt; 4 h</v>
      </c>
      <c r="N13" s="12" t="str">
        <f>IF(K13="","",VLOOKUP(K13,'Class-Matrix'!$B$12:$H$16,4,FALSE()))</f>
        <v>Multiple daily backups + optional replication, semi-automated VRO runbook</v>
      </c>
      <c r="O13" s="10"/>
      <c r="P13" s="10"/>
      <c r="Q13" s="10"/>
      <c r="R13" s="10" t="s">
        <v>94</v>
      </c>
    </row>
    <row r="14" spans="1:18" ht="25.5" customHeight="1">
      <c r="A14" s="7">
        <v>13</v>
      </c>
      <c r="B14" s="10" t="s">
        <v>106</v>
      </c>
      <c r="C14" s="10" t="s">
        <v>107</v>
      </c>
      <c r="D14" s="10" t="s">
        <v>108</v>
      </c>
      <c r="E14" s="10" t="s">
        <v>93</v>
      </c>
      <c r="F14" s="10">
        <v>4</v>
      </c>
      <c r="G14" s="10">
        <v>4</v>
      </c>
      <c r="H14" s="10">
        <v>4</v>
      </c>
      <c r="I14" s="10">
        <v>3</v>
      </c>
      <c r="J14" s="11">
        <f>IF(COUNTBLANK(F14:H14)&gt;0,"",F14*0.45+G14*0.35+H14*0.2)</f>
        <v>4</v>
      </c>
      <c r="K14" s="11" t="str">
        <f>IF(J14="","",IF(OR(E14="Ja",E14="Yes"),"Tier 0 – Foundation",INDEX('Class-Matrix'!$B$4:$B$7,MATCH(J14,'Class-Matrix'!$A$4:$A$7,1))))</f>
        <v>Tier 2 – Gold</v>
      </c>
      <c r="L14" s="12" t="str">
        <f>IF(K14="","",VLOOKUP(K14,'Class-Matrix'!$B$12:$H$16,2,FALSE()))</f>
        <v>&lt; 1 h</v>
      </c>
      <c r="M14" s="12" t="str">
        <f>IF(K14="","",VLOOKUP(K14,'Class-Matrix'!$B$12:$H$16,3,FALSE()))</f>
        <v>&lt; 4 h</v>
      </c>
      <c r="N14" s="12" t="str">
        <f>IF(K14="","",VLOOKUP(K14,'Class-Matrix'!$B$12:$H$16,4,FALSE()))</f>
        <v>Multiple daily backups + optional replication, semi-automated VRO runbook</v>
      </c>
      <c r="O14" s="10"/>
      <c r="P14" s="10"/>
      <c r="Q14" s="10"/>
      <c r="R14" s="10" t="s">
        <v>94</v>
      </c>
    </row>
    <row r="15" spans="1:18" ht="25.5" customHeight="1">
      <c r="A15" s="7">
        <v>14</v>
      </c>
      <c r="B15" s="10" t="s">
        <v>109</v>
      </c>
      <c r="C15" s="10" t="s">
        <v>77</v>
      </c>
      <c r="D15" s="10" t="s">
        <v>110</v>
      </c>
      <c r="E15" s="10" t="s">
        <v>93</v>
      </c>
      <c r="F15" s="10">
        <v>5</v>
      </c>
      <c r="G15" s="10">
        <v>4</v>
      </c>
      <c r="H15" s="10">
        <v>3</v>
      </c>
      <c r="I15" s="10">
        <v>3</v>
      </c>
      <c r="J15" s="11">
        <f>IF(COUNTBLANK(F15:H15)&gt;0,"",F15*0.45+G15*0.35+H15*0.2)</f>
        <v>4.25</v>
      </c>
      <c r="K15" s="11" t="str">
        <f>IF(J15="","",IF(OR(E15="Ja",E15="Yes"),"Tier 0 – Foundation",INDEX('Class-Matrix'!$B$4:$B$7,MATCH(J15,'Class-Matrix'!$A$4:$A$7,1))))</f>
        <v>Tier 2 – Gold</v>
      </c>
      <c r="L15" s="12" t="str">
        <f>IF(K15="","",VLOOKUP(K15,'Class-Matrix'!$B$12:$H$16,2,FALSE()))</f>
        <v>&lt; 1 h</v>
      </c>
      <c r="M15" s="12" t="str">
        <f>IF(K15="","",VLOOKUP(K15,'Class-Matrix'!$B$12:$H$16,3,FALSE()))</f>
        <v>&lt; 4 h</v>
      </c>
      <c r="N15" s="12" t="str">
        <f>IF(K15="","",VLOOKUP(K15,'Class-Matrix'!$B$12:$H$16,4,FALSE()))</f>
        <v>Multiple daily backups + optional replication, semi-automated VRO runbook</v>
      </c>
      <c r="O15" s="10"/>
      <c r="P15" s="10"/>
      <c r="Q15" s="10"/>
      <c r="R15" s="10" t="s">
        <v>94</v>
      </c>
    </row>
    <row r="16" spans="1:18" ht="25.5" customHeight="1">
      <c r="A16" s="7">
        <v>15</v>
      </c>
      <c r="B16" s="10" t="s">
        <v>111</v>
      </c>
      <c r="C16" s="10" t="s">
        <v>112</v>
      </c>
      <c r="D16" s="10" t="s">
        <v>113</v>
      </c>
      <c r="E16" s="10" t="s">
        <v>93</v>
      </c>
      <c r="F16" s="10">
        <v>5</v>
      </c>
      <c r="G16" s="10">
        <v>3</v>
      </c>
      <c r="H16" s="10">
        <v>3</v>
      </c>
      <c r="I16" s="10">
        <v>3</v>
      </c>
      <c r="J16" s="11">
        <f>IF(COUNTBLANK(F16:H16)&gt;0,"",F16*0.45+G16*0.35+H16*0.2)</f>
        <v>3.9</v>
      </c>
      <c r="K16" s="11" t="str">
        <f>IF(J16="","",IF(OR(E16="Ja",E16="Yes"),"Tier 0 – Foundation",INDEX('Class-Matrix'!$B$4:$B$7,MATCH(J16,'Class-Matrix'!$A$4:$A$7,1))))</f>
        <v>Tier 2 – Gold</v>
      </c>
      <c r="L16" s="12" t="str">
        <f>IF(K16="","",VLOOKUP(K16,'Class-Matrix'!$B$12:$H$16,2,FALSE()))</f>
        <v>&lt; 1 h</v>
      </c>
      <c r="M16" s="12" t="str">
        <f>IF(K16="","",VLOOKUP(K16,'Class-Matrix'!$B$12:$H$16,3,FALSE()))</f>
        <v>&lt; 4 h</v>
      </c>
      <c r="N16" s="12" t="str">
        <f>IF(K16="","",VLOOKUP(K16,'Class-Matrix'!$B$12:$H$16,4,FALSE()))</f>
        <v>Multiple daily backups + optional replication, semi-automated VRO runbook</v>
      </c>
      <c r="O16" s="10"/>
      <c r="P16" s="10"/>
      <c r="Q16" s="10"/>
      <c r="R16" s="10" t="s">
        <v>94</v>
      </c>
    </row>
    <row r="17" spans="1:18" ht="25.5" customHeight="1">
      <c r="A17" s="7">
        <v>16</v>
      </c>
      <c r="B17" s="10" t="s">
        <v>114</v>
      </c>
      <c r="C17" s="10" t="s">
        <v>115</v>
      </c>
      <c r="D17" s="10" t="s">
        <v>116</v>
      </c>
      <c r="E17" s="10" t="s">
        <v>93</v>
      </c>
      <c r="F17" s="10">
        <v>5</v>
      </c>
      <c r="G17" s="10">
        <v>4</v>
      </c>
      <c r="H17" s="10">
        <v>3</v>
      </c>
      <c r="I17" s="10">
        <v>3</v>
      </c>
      <c r="J17" s="11">
        <f>IF(COUNTBLANK(F17:H17)&gt;0,"",F17*0.45+G17*0.35+H17*0.2)</f>
        <v>4.25</v>
      </c>
      <c r="K17" s="11" t="str">
        <f>IF(J17="","",IF(OR(E17="Ja",E17="Yes"),"Tier 0 – Foundation",INDEX('Class-Matrix'!$B$4:$B$7,MATCH(J17,'Class-Matrix'!$A$4:$A$7,1))))</f>
        <v>Tier 2 – Gold</v>
      </c>
      <c r="L17" s="12" t="str">
        <f>IF(K17="","",VLOOKUP(K17,'Class-Matrix'!$B$12:$H$16,2,FALSE()))</f>
        <v>&lt; 1 h</v>
      </c>
      <c r="M17" s="12" t="str">
        <f>IF(K17="","",VLOOKUP(K17,'Class-Matrix'!$B$12:$H$16,3,FALSE()))</f>
        <v>&lt; 4 h</v>
      </c>
      <c r="N17" s="12" t="str">
        <f>IF(K17="","",VLOOKUP(K17,'Class-Matrix'!$B$12:$H$16,4,FALSE()))</f>
        <v>Multiple daily backups + optional replication, semi-automated VRO runbook</v>
      </c>
      <c r="O17" s="10"/>
      <c r="P17" s="10"/>
      <c r="Q17" s="10"/>
      <c r="R17" s="10" t="s">
        <v>94</v>
      </c>
    </row>
    <row r="18" spans="1:18" ht="25.5" customHeight="1">
      <c r="A18" s="7">
        <v>17</v>
      </c>
      <c r="B18" s="10" t="s">
        <v>117</v>
      </c>
      <c r="C18" s="10" t="s">
        <v>80</v>
      </c>
      <c r="D18" s="10" t="s">
        <v>118</v>
      </c>
      <c r="E18" s="10" t="s">
        <v>93</v>
      </c>
      <c r="F18" s="10">
        <v>4</v>
      </c>
      <c r="G18" s="10">
        <v>3</v>
      </c>
      <c r="H18" s="10">
        <v>5</v>
      </c>
      <c r="I18" s="10">
        <v>2</v>
      </c>
      <c r="J18" s="11">
        <f>IF(COUNTBLANK(F18:H18)&gt;0,"",F18*0.45+G18*0.35+H18*0.2)</f>
        <v>3.8499999999999996</v>
      </c>
      <c r="K18" s="11" t="str">
        <f>IF(J18="","",IF(OR(E18="Ja",E18="Yes"),"Tier 0 – Foundation",INDEX('Class-Matrix'!$B$4:$B$7,MATCH(J18,'Class-Matrix'!$A$4:$A$7,1))))</f>
        <v>Tier 2 – Gold</v>
      </c>
      <c r="L18" s="12" t="str">
        <f>IF(K18="","",VLOOKUP(K18,'Class-Matrix'!$B$12:$H$16,2,FALSE()))</f>
        <v>&lt; 1 h</v>
      </c>
      <c r="M18" s="12" t="str">
        <f>IF(K18="","",VLOOKUP(K18,'Class-Matrix'!$B$12:$H$16,3,FALSE()))</f>
        <v>&lt; 4 h</v>
      </c>
      <c r="N18" s="12" t="str">
        <f>IF(K18="","",VLOOKUP(K18,'Class-Matrix'!$B$12:$H$16,4,FALSE()))</f>
        <v>Multiple daily backups + optional replication, semi-automated VRO runbook</v>
      </c>
      <c r="O18" s="10"/>
      <c r="P18" s="10"/>
      <c r="Q18" s="10"/>
      <c r="R18" s="10" t="s">
        <v>94</v>
      </c>
    </row>
    <row r="19" spans="1:18" ht="25.5" customHeight="1">
      <c r="A19" s="7">
        <v>18</v>
      </c>
      <c r="B19" s="10" t="s">
        <v>119</v>
      </c>
      <c r="C19" s="10" t="s">
        <v>80</v>
      </c>
      <c r="D19" s="10" t="s">
        <v>120</v>
      </c>
      <c r="E19" s="10" t="s">
        <v>93</v>
      </c>
      <c r="F19" s="10">
        <v>5</v>
      </c>
      <c r="G19" s="10">
        <v>4</v>
      </c>
      <c r="H19" s="10">
        <v>5</v>
      </c>
      <c r="I19" s="10">
        <v>3</v>
      </c>
      <c r="J19" s="11">
        <f>IF(COUNTBLANK(F19:H19)&gt;0,"",F19*0.45+G19*0.35+H19*0.2)</f>
        <v>4.6500000000000004</v>
      </c>
      <c r="K19" s="11" t="str">
        <f>IF(J19="","",IF(OR(E19="Ja",E19="Yes"),"Tier 0 – Foundation",INDEX('Class-Matrix'!$B$4:$B$7,MATCH(J19,'Class-Matrix'!$A$4:$A$7,1))))</f>
        <v>Tier 1 – Platinum</v>
      </c>
      <c r="L19" s="12" t="str">
        <f>IF(K19="","",VLOOKUP(K19,'Class-Matrix'!$B$12:$H$16,2,FALSE()))</f>
        <v>&lt; 15 min</v>
      </c>
      <c r="M19" s="12" t="str">
        <f>IF(K19="","",VLOOKUP(K19,'Class-Matrix'!$B$12:$H$16,3,FALSE()))</f>
        <v>&lt; 1 h</v>
      </c>
      <c r="N19" s="12" t="str">
        <f>IF(K19="","",VLOOKUP(K19,'Class-Matrix'!$B$12:$H$16,4,FALSE()))</f>
        <v>Near-CDP replication + immutable backup, automated VRO orchestration plan with failover</v>
      </c>
      <c r="O19" s="10"/>
      <c r="P19" s="10"/>
      <c r="Q19" s="10"/>
      <c r="R19" s="10" t="s">
        <v>94</v>
      </c>
    </row>
    <row r="20" spans="1:18" ht="25.5" customHeight="1">
      <c r="A20" s="7">
        <v>19</v>
      </c>
      <c r="B20" s="10" t="s">
        <v>121</v>
      </c>
      <c r="C20" s="10" t="s">
        <v>77</v>
      </c>
      <c r="D20" s="10" t="s">
        <v>122</v>
      </c>
      <c r="E20" s="10" t="s">
        <v>93</v>
      </c>
      <c r="F20" s="10">
        <v>3</v>
      </c>
      <c r="G20" s="10">
        <v>4</v>
      </c>
      <c r="H20" s="10">
        <v>3</v>
      </c>
      <c r="I20" s="10">
        <v>2</v>
      </c>
      <c r="J20" s="11">
        <f>IF(COUNTBLANK(F20:H20)&gt;0,"",F20*0.45+G20*0.35+H20*0.2)</f>
        <v>3.35</v>
      </c>
      <c r="K20" s="11" t="str">
        <f>IF(J20="","",IF(OR(E20="Ja",E20="Yes"),"Tier 0 – Foundation",INDEX('Class-Matrix'!$B$4:$B$7,MATCH(J20,'Class-Matrix'!$A$4:$A$7,1))))</f>
        <v>Tier 3 – Silver</v>
      </c>
      <c r="L20" s="12" t="str">
        <f>IF(K20="","",VLOOKUP(K20,'Class-Matrix'!$B$12:$H$16,2,FALSE()))</f>
        <v>&lt; 4 h</v>
      </c>
      <c r="M20" s="12" t="str">
        <f>IF(K20="","",VLOOKUP(K20,'Class-Matrix'!$B$12:$H$16,3,FALSE()))</f>
        <v>&lt; 24 h</v>
      </c>
      <c r="N20" s="12" t="str">
        <f>IF(K20="","",VLOOKUP(K20,'Class-Matrix'!$B$12:$H$16,4,FALSE()))</f>
        <v>Daily backup, immutability optional, standardized VRO runbook</v>
      </c>
      <c r="O20" s="10"/>
      <c r="P20" s="10"/>
      <c r="Q20" s="10"/>
      <c r="R20" s="10" t="s">
        <v>94</v>
      </c>
    </row>
    <row r="21" spans="1:18" ht="25.5" customHeight="1">
      <c r="A21" s="7">
        <v>20</v>
      </c>
      <c r="B21" s="10" t="s">
        <v>123</v>
      </c>
      <c r="C21" s="10" t="s">
        <v>89</v>
      </c>
      <c r="D21" s="10" t="s">
        <v>124</v>
      </c>
      <c r="E21" s="10" t="s">
        <v>93</v>
      </c>
      <c r="F21" s="10">
        <v>3</v>
      </c>
      <c r="G21" s="10">
        <v>4</v>
      </c>
      <c r="H21" s="10">
        <v>3</v>
      </c>
      <c r="I21" s="10">
        <v>3</v>
      </c>
      <c r="J21" s="11">
        <f>IF(COUNTBLANK(F21:H21)&gt;0,"",F21*0.45+G21*0.35+H21*0.2)</f>
        <v>3.35</v>
      </c>
      <c r="K21" s="11" t="str">
        <f>IF(J21="","",IF(OR(E21="Ja",E21="Yes"),"Tier 0 – Foundation",INDEX('Class-Matrix'!$B$4:$B$7,MATCH(J21,'Class-Matrix'!$A$4:$A$7,1))))</f>
        <v>Tier 3 – Silver</v>
      </c>
      <c r="L21" s="12" t="str">
        <f>IF(K21="","",VLOOKUP(K21,'Class-Matrix'!$B$12:$H$16,2,FALSE()))</f>
        <v>&lt; 4 h</v>
      </c>
      <c r="M21" s="12" t="str">
        <f>IF(K21="","",VLOOKUP(K21,'Class-Matrix'!$B$12:$H$16,3,FALSE()))</f>
        <v>&lt; 24 h</v>
      </c>
      <c r="N21" s="12" t="str">
        <f>IF(K21="","",VLOOKUP(K21,'Class-Matrix'!$B$12:$H$16,4,FALSE()))</f>
        <v>Daily backup, immutability optional, standardized VRO runbook</v>
      </c>
      <c r="O21" s="10"/>
      <c r="P21" s="10"/>
      <c r="Q21" s="10"/>
      <c r="R21" s="10" t="s">
        <v>94</v>
      </c>
    </row>
    <row r="22" spans="1:18" ht="25.5" customHeight="1">
      <c r="A22" s="7">
        <v>21</v>
      </c>
      <c r="B22" s="10" t="s">
        <v>125</v>
      </c>
      <c r="C22" s="10" t="s">
        <v>89</v>
      </c>
      <c r="D22" s="10" t="s">
        <v>126</v>
      </c>
      <c r="E22" s="10" t="s">
        <v>93</v>
      </c>
      <c r="F22" s="10">
        <v>4</v>
      </c>
      <c r="G22" s="10">
        <v>2</v>
      </c>
      <c r="H22" s="10">
        <v>3</v>
      </c>
      <c r="I22" s="10">
        <v>2</v>
      </c>
      <c r="J22" s="11">
        <f>IF(COUNTBLANK(F22:H22)&gt;0,"",F22*0.45+G22*0.35+H22*0.2)</f>
        <v>3.1</v>
      </c>
      <c r="K22" s="11" t="str">
        <f>IF(J22="","",IF(OR(E22="Ja",E22="Yes"),"Tier 0 – Foundation",INDEX('Class-Matrix'!$B$4:$B$7,MATCH(J22,'Class-Matrix'!$A$4:$A$7,1))))</f>
        <v>Tier 3 – Silver</v>
      </c>
      <c r="L22" s="12" t="str">
        <f>IF(K22="","",VLOOKUP(K22,'Class-Matrix'!$B$12:$H$16,2,FALSE()))</f>
        <v>&lt; 4 h</v>
      </c>
      <c r="M22" s="12" t="str">
        <f>IF(K22="","",VLOOKUP(K22,'Class-Matrix'!$B$12:$H$16,3,FALSE()))</f>
        <v>&lt; 24 h</v>
      </c>
      <c r="N22" s="12" t="str">
        <f>IF(K22="","",VLOOKUP(K22,'Class-Matrix'!$B$12:$H$16,4,FALSE()))</f>
        <v>Daily backup, immutability optional, standardized VRO runbook</v>
      </c>
      <c r="O22" s="10"/>
      <c r="P22" s="10"/>
      <c r="Q22" s="10"/>
      <c r="R22" s="10" t="s">
        <v>94</v>
      </c>
    </row>
    <row r="23" spans="1:18" ht="25.5" customHeight="1">
      <c r="A23" s="7">
        <v>22</v>
      </c>
      <c r="B23" s="10" t="s">
        <v>127</v>
      </c>
      <c r="C23" s="10" t="s">
        <v>107</v>
      </c>
      <c r="D23" s="10" t="s">
        <v>128</v>
      </c>
      <c r="E23" s="10" t="s">
        <v>93</v>
      </c>
      <c r="F23" s="10">
        <v>2</v>
      </c>
      <c r="G23" s="10">
        <v>3</v>
      </c>
      <c r="H23" s="10">
        <v>2</v>
      </c>
      <c r="I23" s="10">
        <v>2</v>
      </c>
      <c r="J23" s="11">
        <f>IF(COUNTBLANK(F23:H23)&gt;0,"",F23*0.45+G23*0.35+H23*0.2)</f>
        <v>2.3499999999999996</v>
      </c>
      <c r="K23" s="11" t="str">
        <f>IF(J23="","",IF(OR(E23="Ja",E23="Yes"),"Tier 0 – Foundation",INDEX('Class-Matrix'!$B$4:$B$7,MATCH(J23,'Class-Matrix'!$A$4:$A$7,1))))</f>
        <v>Tier 4 – Bronze</v>
      </c>
      <c r="L23" s="12" t="str">
        <f>IF(K23="","",VLOOKUP(K23,'Class-Matrix'!$B$12:$H$16,2,FALSE()))</f>
        <v>&lt; 24 h</v>
      </c>
      <c r="M23" s="12" t="str">
        <f>IF(K23="","",VLOOKUP(K23,'Class-Matrix'!$B$12:$H$16,3,FALSE()))</f>
        <v>&lt; 72 h / best effort</v>
      </c>
      <c r="N23" s="12" t="str">
        <f>IF(K23="","",VLOOKUP(K23,'Class-Matrix'!$B$12:$H$16,4,FALSE()))</f>
        <v>Standard backup policy (daily/weekly), manual recovery acceptable</v>
      </c>
      <c r="O23" s="10"/>
      <c r="P23" s="10"/>
      <c r="Q23" s="10"/>
      <c r="R23" s="10" t="s">
        <v>94</v>
      </c>
    </row>
    <row r="24" spans="1:18" ht="25.5" customHeight="1">
      <c r="A24" s="7">
        <v>23</v>
      </c>
      <c r="B24" s="10" t="s">
        <v>129</v>
      </c>
      <c r="C24" s="10" t="s">
        <v>112</v>
      </c>
      <c r="D24" s="10" t="s">
        <v>130</v>
      </c>
      <c r="E24" s="10" t="s">
        <v>93</v>
      </c>
      <c r="F24" s="10">
        <v>3</v>
      </c>
      <c r="G24" s="10">
        <v>2</v>
      </c>
      <c r="H24" s="10">
        <v>2</v>
      </c>
      <c r="I24" s="10">
        <v>1</v>
      </c>
      <c r="J24" s="11">
        <f>IF(COUNTBLANK(F24:H24)&gt;0,"",F24*0.45+G24*0.35+H24*0.2)</f>
        <v>2.4499999999999997</v>
      </c>
      <c r="K24" s="11" t="str">
        <f>IF(J24="","",IF(OR(E24="Ja",E24="Yes"),"Tier 0 – Foundation",INDEX('Class-Matrix'!$B$4:$B$7,MATCH(J24,'Class-Matrix'!$A$4:$A$7,1))))</f>
        <v>Tier 4 – Bronze</v>
      </c>
      <c r="L24" s="12" t="str">
        <f>IF(K24="","",VLOOKUP(K24,'Class-Matrix'!$B$12:$H$16,2,FALSE()))</f>
        <v>&lt; 24 h</v>
      </c>
      <c r="M24" s="12" t="str">
        <f>IF(K24="","",VLOOKUP(K24,'Class-Matrix'!$B$12:$H$16,3,FALSE()))</f>
        <v>&lt; 72 h / best effort</v>
      </c>
      <c r="N24" s="12" t="str">
        <f>IF(K24="","",VLOOKUP(K24,'Class-Matrix'!$B$12:$H$16,4,FALSE()))</f>
        <v>Standard backup policy (daily/weekly), manual recovery acceptable</v>
      </c>
      <c r="O24" s="10"/>
      <c r="P24" s="10"/>
      <c r="Q24" s="10"/>
      <c r="R24" s="10" t="s">
        <v>94</v>
      </c>
    </row>
    <row r="25" spans="1:18" ht="25.5" customHeight="1">
      <c r="A25" s="7">
        <v>24</v>
      </c>
      <c r="B25" s="10" t="s">
        <v>131</v>
      </c>
      <c r="C25" s="10" t="s">
        <v>80</v>
      </c>
      <c r="D25" s="10" t="s">
        <v>132</v>
      </c>
      <c r="E25" s="10" t="s">
        <v>93</v>
      </c>
      <c r="F25" s="10">
        <v>3</v>
      </c>
      <c r="G25" s="10">
        <v>2</v>
      </c>
      <c r="H25" s="10">
        <v>2</v>
      </c>
      <c r="I25" s="10">
        <v>2</v>
      </c>
      <c r="J25" s="11">
        <f>IF(COUNTBLANK(F25:H25)&gt;0,"",F25*0.45+G25*0.35+H25*0.2)</f>
        <v>2.4499999999999997</v>
      </c>
      <c r="K25" s="11" t="str">
        <f>IF(J25="","",IF(OR(E25="Ja",E25="Yes"),"Tier 0 – Foundation",INDEX('Class-Matrix'!$B$4:$B$7,MATCH(J25,'Class-Matrix'!$A$4:$A$7,1))))</f>
        <v>Tier 4 – Bronze</v>
      </c>
      <c r="L25" s="12" t="str">
        <f>IF(K25="","",VLOOKUP(K25,'Class-Matrix'!$B$12:$H$16,2,FALSE()))</f>
        <v>&lt; 24 h</v>
      </c>
      <c r="M25" s="12" t="str">
        <f>IF(K25="","",VLOOKUP(K25,'Class-Matrix'!$B$12:$H$16,3,FALSE()))</f>
        <v>&lt; 72 h / best effort</v>
      </c>
      <c r="N25" s="12" t="str">
        <f>IF(K25="","",VLOOKUP(K25,'Class-Matrix'!$B$12:$H$16,4,FALSE()))</f>
        <v>Standard backup policy (daily/weekly), manual recovery acceptable</v>
      </c>
      <c r="O25" s="10"/>
      <c r="P25" s="10"/>
      <c r="Q25" s="10"/>
      <c r="R25" s="10" t="s">
        <v>94</v>
      </c>
    </row>
    <row r="26" spans="1:18" ht="25.5" customHeight="1">
      <c r="A26" s="7">
        <v>25</v>
      </c>
      <c r="B26" s="10" t="s">
        <v>133</v>
      </c>
      <c r="C26" s="10" t="s">
        <v>107</v>
      </c>
      <c r="D26" s="10" t="s">
        <v>134</v>
      </c>
      <c r="E26" s="10" t="s">
        <v>93</v>
      </c>
      <c r="F26" s="10">
        <v>4</v>
      </c>
      <c r="G26" s="10">
        <v>4</v>
      </c>
      <c r="H26" s="10">
        <v>3</v>
      </c>
      <c r="I26" s="10">
        <v>4</v>
      </c>
      <c r="J26" s="11">
        <f>IF(COUNTBLANK(F26:H26)&gt;0,"",F26*0.45+G26*0.35+H26*0.2)</f>
        <v>3.8000000000000003</v>
      </c>
      <c r="K26" s="11" t="str">
        <f>IF(J26="","",IF(OR(E26="Ja",E26="Yes"),"Tier 0 – Foundation",INDEX('Class-Matrix'!$B$4:$B$7,MATCH(J26,'Class-Matrix'!$A$4:$A$7,1))))</f>
        <v>Tier 2 – Gold</v>
      </c>
      <c r="L26" s="12" t="str">
        <f>IF(K26="","",VLOOKUP(K26,'Class-Matrix'!$B$12:$H$16,2,FALSE()))</f>
        <v>&lt; 1 h</v>
      </c>
      <c r="M26" s="12" t="str">
        <f>IF(K26="","",VLOOKUP(K26,'Class-Matrix'!$B$12:$H$16,3,FALSE()))</f>
        <v>&lt; 4 h</v>
      </c>
      <c r="N26" s="12" t="str">
        <f>IF(K26="","",VLOOKUP(K26,'Class-Matrix'!$B$12:$H$16,4,FALSE()))</f>
        <v>Multiple daily backups + optional replication, semi-automated VRO runbook</v>
      </c>
      <c r="O26" s="10"/>
      <c r="P26" s="10"/>
      <c r="Q26" s="10"/>
      <c r="R26" s="10" t="s">
        <v>135</v>
      </c>
    </row>
    <row r="27" spans="1:18" ht="25.5" customHeight="1">
      <c r="A27" s="7">
        <v>26</v>
      </c>
      <c r="B27" s="10" t="s">
        <v>136</v>
      </c>
      <c r="C27" s="10" t="s">
        <v>89</v>
      </c>
      <c r="D27" s="10" t="s">
        <v>137</v>
      </c>
      <c r="E27" s="10" t="s">
        <v>93</v>
      </c>
      <c r="F27" s="10">
        <v>5</v>
      </c>
      <c r="G27" s="10">
        <v>4</v>
      </c>
      <c r="H27" s="10">
        <v>4</v>
      </c>
      <c r="I27" s="10">
        <v>3</v>
      </c>
      <c r="J27" s="11">
        <f>IF(COUNTBLANK(F27:H27)&gt;0,"",F27*0.45+G27*0.35+H27*0.2)</f>
        <v>4.45</v>
      </c>
      <c r="K27" s="11" t="str">
        <f>IF(J27="","",IF(OR(E27="Ja",E27="Yes"),"Tier 0 – Foundation",INDEX('Class-Matrix'!$B$4:$B$7,MATCH(J27,'Class-Matrix'!$A$4:$A$7,1))))</f>
        <v>Tier 1 – Platinum</v>
      </c>
      <c r="L27" s="12" t="str">
        <f>IF(K27="","",VLOOKUP(K27,'Class-Matrix'!$B$12:$H$16,2,FALSE()))</f>
        <v>&lt; 15 min</v>
      </c>
      <c r="M27" s="12" t="str">
        <f>IF(K27="","",VLOOKUP(K27,'Class-Matrix'!$B$12:$H$16,3,FALSE()))</f>
        <v>&lt; 1 h</v>
      </c>
      <c r="N27" s="12" t="str">
        <f>IF(K27="","",VLOOKUP(K27,'Class-Matrix'!$B$12:$H$16,4,FALSE()))</f>
        <v>Near-CDP replication + immutable backup, automated VRO orchestration plan with failover</v>
      </c>
      <c r="O27" s="10"/>
      <c r="P27" s="10"/>
      <c r="Q27" s="10" t="s">
        <v>138</v>
      </c>
      <c r="R27" s="10" t="s">
        <v>135</v>
      </c>
    </row>
    <row r="28" spans="1:18" ht="25.5" customHeight="1">
      <c r="A28" s="7">
        <v>27</v>
      </c>
      <c r="B28" s="10" t="s">
        <v>139</v>
      </c>
      <c r="C28" s="10" t="s">
        <v>83</v>
      </c>
      <c r="D28" s="10" t="s">
        <v>140</v>
      </c>
      <c r="E28" s="10" t="s">
        <v>93</v>
      </c>
      <c r="F28" s="10">
        <v>5</v>
      </c>
      <c r="G28" s="10">
        <v>5</v>
      </c>
      <c r="H28" s="10">
        <v>3</v>
      </c>
      <c r="I28" s="10">
        <v>2</v>
      </c>
      <c r="J28" s="11">
        <f>IF(COUNTBLANK(F28:H28)&gt;0,"",F28*0.45+G28*0.35+H28*0.2)</f>
        <v>4.5999999999999996</v>
      </c>
      <c r="K28" s="11" t="str">
        <f>IF(J28="","",IF(OR(E28="Ja",E28="Yes"),"Tier 0 – Foundation",INDEX('Class-Matrix'!$B$4:$B$7,MATCH(J28,'Class-Matrix'!$A$4:$A$7,1))))</f>
        <v>Tier 1 – Platinum</v>
      </c>
      <c r="L28" s="12" t="str">
        <f>IF(K28="","",VLOOKUP(K28,'Class-Matrix'!$B$12:$H$16,2,FALSE()))</f>
        <v>&lt; 15 min</v>
      </c>
      <c r="M28" s="12" t="str">
        <f>IF(K28="","",VLOOKUP(K28,'Class-Matrix'!$B$12:$H$16,3,FALSE()))</f>
        <v>&lt; 1 h</v>
      </c>
      <c r="N28" s="12" t="str">
        <f>IF(K28="","",VLOOKUP(K28,'Class-Matrix'!$B$12:$H$16,4,FALSE()))</f>
        <v>Near-CDP replication + immutable backup, automated VRO orchestration plan with failover</v>
      </c>
      <c r="O28" s="10"/>
      <c r="P28" s="10"/>
      <c r="Q28" s="10" t="s">
        <v>141</v>
      </c>
      <c r="R28" s="10" t="s">
        <v>142</v>
      </c>
    </row>
    <row r="29" spans="1:18" ht="25.5" customHeight="1">
      <c r="A29" s="7">
        <v>28</v>
      </c>
      <c r="B29" s="10" t="s">
        <v>143</v>
      </c>
      <c r="C29" s="10" t="s">
        <v>73</v>
      </c>
      <c r="D29" s="10" t="s">
        <v>144</v>
      </c>
      <c r="E29" s="10" t="s">
        <v>93</v>
      </c>
      <c r="F29" s="10">
        <v>4</v>
      </c>
      <c r="G29" s="10">
        <v>5</v>
      </c>
      <c r="H29" s="10">
        <v>3</v>
      </c>
      <c r="I29" s="10">
        <v>4</v>
      </c>
      <c r="J29" s="11">
        <f>IF(COUNTBLANK(F29:H29)&gt;0,"",F29*0.45+G29*0.35+H29*0.2)</f>
        <v>4.1500000000000004</v>
      </c>
      <c r="K29" s="11" t="str">
        <f>IF(J29="","",IF(OR(E29="Ja",E29="Yes"),"Tier 0 – Foundation",INDEX('Class-Matrix'!$B$4:$B$7,MATCH(J29,'Class-Matrix'!$A$4:$A$7,1))))</f>
        <v>Tier 2 – Gold</v>
      </c>
      <c r="L29" s="12" t="str">
        <f>IF(K29="","",VLOOKUP(K29,'Class-Matrix'!$B$12:$H$16,2,FALSE()))</f>
        <v>&lt; 1 h</v>
      </c>
      <c r="M29" s="12" t="str">
        <f>IF(K29="","",VLOOKUP(K29,'Class-Matrix'!$B$12:$H$16,3,FALSE()))</f>
        <v>&lt; 4 h</v>
      </c>
      <c r="N29" s="12" t="str">
        <f>IF(K29="","",VLOOKUP(K29,'Class-Matrix'!$B$12:$H$16,4,FALSE()))</f>
        <v>Multiple daily backups + optional replication, semi-automated VRO runbook</v>
      </c>
      <c r="O29" s="10"/>
      <c r="P29" s="10"/>
      <c r="Q29" s="10"/>
      <c r="R29" s="10" t="s">
        <v>145</v>
      </c>
    </row>
    <row r="30" spans="1:18" ht="25.5" customHeight="1">
      <c r="A30" s="7">
        <v>29</v>
      </c>
      <c r="B30" s="10" t="s">
        <v>146</v>
      </c>
      <c r="C30" s="10" t="s">
        <v>83</v>
      </c>
      <c r="D30" s="10" t="s">
        <v>147</v>
      </c>
      <c r="E30" s="10" t="s">
        <v>93</v>
      </c>
      <c r="F30" s="10">
        <v>5</v>
      </c>
      <c r="G30" s="10">
        <v>5</v>
      </c>
      <c r="H30" s="10">
        <v>2</v>
      </c>
      <c r="I30" s="10">
        <v>2</v>
      </c>
      <c r="J30" s="11">
        <f>IF(COUNTBLANK(F30:H30)&gt;0,"",F30*0.45+G30*0.35+H30*0.2)</f>
        <v>4.4000000000000004</v>
      </c>
      <c r="K30" s="11" t="str">
        <f>IF(J30="","",IF(OR(E30="Ja",E30="Yes"),"Tier 0 – Foundation",INDEX('Class-Matrix'!$B$4:$B$7,MATCH(J30,'Class-Matrix'!$A$4:$A$7,1))))</f>
        <v>Tier 1 – Platinum</v>
      </c>
      <c r="L30" s="12" t="str">
        <f>IF(K30="","",VLOOKUP(K30,'Class-Matrix'!$B$12:$H$16,2,FALSE()))</f>
        <v>&lt; 15 min</v>
      </c>
      <c r="M30" s="12" t="str">
        <f>IF(K30="","",VLOOKUP(K30,'Class-Matrix'!$B$12:$H$16,3,FALSE()))</f>
        <v>&lt; 1 h</v>
      </c>
      <c r="N30" s="12" t="str">
        <f>IF(K30="","",VLOOKUP(K30,'Class-Matrix'!$B$12:$H$16,4,FALSE()))</f>
        <v>Near-CDP replication + immutable backup, automated VRO orchestration plan with failover</v>
      </c>
      <c r="O30" s="10"/>
      <c r="P30" s="10"/>
      <c r="Q30" s="10"/>
      <c r="R30" s="10" t="s">
        <v>145</v>
      </c>
    </row>
    <row r="31" spans="1:18" ht="25.5" customHeight="1">
      <c r="A31" s="7">
        <v>30</v>
      </c>
      <c r="B31" s="10" t="s">
        <v>148</v>
      </c>
      <c r="C31" s="10" t="s">
        <v>107</v>
      </c>
      <c r="D31" s="10" t="s">
        <v>149</v>
      </c>
      <c r="E31" s="10" t="s">
        <v>93</v>
      </c>
      <c r="F31" s="10">
        <v>4</v>
      </c>
      <c r="G31" s="10">
        <v>5</v>
      </c>
      <c r="H31" s="10">
        <v>3</v>
      </c>
      <c r="I31" s="10">
        <v>2</v>
      </c>
      <c r="J31" s="11">
        <f>IF(COUNTBLANK(F31:H31)&gt;0,"",F31*0.45+G31*0.35+H31*0.2)</f>
        <v>4.1500000000000004</v>
      </c>
      <c r="K31" s="11" t="str">
        <f>IF(J31="","",IF(OR(E31="Ja",E31="Yes"),"Tier 0 – Foundation",INDEX('Class-Matrix'!$B$4:$B$7,MATCH(J31,'Class-Matrix'!$A$4:$A$7,1))))</f>
        <v>Tier 2 – Gold</v>
      </c>
      <c r="L31" s="12" t="str">
        <f>IF(K31="","",VLOOKUP(K31,'Class-Matrix'!$B$12:$H$16,2,FALSE()))</f>
        <v>&lt; 1 h</v>
      </c>
      <c r="M31" s="12" t="str">
        <f>IF(K31="","",VLOOKUP(K31,'Class-Matrix'!$B$12:$H$16,3,FALSE()))</f>
        <v>&lt; 4 h</v>
      </c>
      <c r="N31" s="12" t="str">
        <f>IF(K31="","",VLOOKUP(K31,'Class-Matrix'!$B$12:$H$16,4,FALSE()))</f>
        <v>Multiple daily backups + optional replication, semi-automated VRO runbook</v>
      </c>
      <c r="O31" s="10"/>
      <c r="P31" s="10"/>
      <c r="Q31" s="10"/>
      <c r="R31" s="10" t="s">
        <v>145</v>
      </c>
    </row>
    <row r="32" spans="1:18" ht="25.5" customHeight="1">
      <c r="A32" s="7">
        <v>31</v>
      </c>
      <c r="B32" s="10" t="s">
        <v>150</v>
      </c>
      <c r="C32" s="10" t="s">
        <v>115</v>
      </c>
      <c r="D32" s="10" t="s">
        <v>151</v>
      </c>
      <c r="E32" s="10" t="s">
        <v>93</v>
      </c>
      <c r="F32" s="10">
        <v>5</v>
      </c>
      <c r="G32" s="10">
        <v>4</v>
      </c>
      <c r="H32" s="10">
        <v>3</v>
      </c>
      <c r="I32" s="10">
        <v>4</v>
      </c>
      <c r="J32" s="11">
        <f>IF(COUNTBLANK(F32:H32)&gt;0,"",F32*0.45+G32*0.35+H32*0.2)</f>
        <v>4.25</v>
      </c>
      <c r="K32" s="11" t="str">
        <f>IF(J32="","",IF(OR(E32="Ja",E32="Yes"),"Tier 0 – Foundation",INDEX('Class-Matrix'!$B$4:$B$7,MATCH(J32,'Class-Matrix'!$A$4:$A$7,1))))</f>
        <v>Tier 2 – Gold</v>
      </c>
      <c r="L32" s="12" t="str">
        <f>IF(K32="","",VLOOKUP(K32,'Class-Matrix'!$B$12:$H$16,2,FALSE()))</f>
        <v>&lt; 1 h</v>
      </c>
      <c r="M32" s="12" t="str">
        <f>IF(K32="","",VLOOKUP(K32,'Class-Matrix'!$B$12:$H$16,3,FALSE()))</f>
        <v>&lt; 4 h</v>
      </c>
      <c r="N32" s="12" t="str">
        <f>IF(K32="","",VLOOKUP(K32,'Class-Matrix'!$B$12:$H$16,4,FALSE()))</f>
        <v>Multiple daily backups + optional replication, semi-automated VRO runbook</v>
      </c>
      <c r="O32" s="10"/>
      <c r="P32" s="10"/>
      <c r="Q32" s="10" t="s">
        <v>152</v>
      </c>
      <c r="R32" s="10" t="s">
        <v>153</v>
      </c>
    </row>
    <row r="33" spans="1:18" ht="25.5" customHeight="1">
      <c r="A33" s="7">
        <v>32</v>
      </c>
      <c r="B33" s="10" t="s">
        <v>154</v>
      </c>
      <c r="C33" s="10" t="s">
        <v>89</v>
      </c>
      <c r="D33" s="10" t="s">
        <v>155</v>
      </c>
      <c r="E33" s="10" t="s">
        <v>93</v>
      </c>
      <c r="F33" s="10">
        <v>5</v>
      </c>
      <c r="G33" s="10">
        <v>5</v>
      </c>
      <c r="H33" s="10">
        <v>3</v>
      </c>
      <c r="I33" s="10">
        <v>3</v>
      </c>
      <c r="J33" s="11">
        <f>IF(COUNTBLANK(F33:H33)&gt;0,"",F33*0.45+G33*0.35+H33*0.2)</f>
        <v>4.5999999999999996</v>
      </c>
      <c r="K33" s="11" t="str">
        <f>IF(J33="","",IF(OR(E33="Ja",E33="Yes"),"Tier 0 – Foundation",INDEX('Class-Matrix'!$B$4:$B$7,MATCH(J33,'Class-Matrix'!$A$4:$A$7,1))))</f>
        <v>Tier 1 – Platinum</v>
      </c>
      <c r="L33" s="12" t="str">
        <f>IF(K33="","",VLOOKUP(K33,'Class-Matrix'!$B$12:$H$16,2,FALSE()))</f>
        <v>&lt; 15 min</v>
      </c>
      <c r="M33" s="12" t="str">
        <f>IF(K33="","",VLOOKUP(K33,'Class-Matrix'!$B$12:$H$16,3,FALSE()))</f>
        <v>&lt; 1 h</v>
      </c>
      <c r="N33" s="12" t="str">
        <f>IF(K33="","",VLOOKUP(K33,'Class-Matrix'!$B$12:$H$16,4,FALSE()))</f>
        <v>Near-CDP replication + immutable backup, automated VRO orchestration plan with failover</v>
      </c>
      <c r="O33" s="10"/>
      <c r="P33" s="10"/>
      <c r="Q33" s="10" t="s">
        <v>156</v>
      </c>
      <c r="R33" s="10" t="s">
        <v>157</v>
      </c>
    </row>
    <row r="34" spans="1:18" ht="25.5" customHeight="1">
      <c r="A34" s="7">
        <v>33</v>
      </c>
      <c r="B34" s="10" t="s">
        <v>158</v>
      </c>
      <c r="C34" s="10" t="s">
        <v>159</v>
      </c>
      <c r="D34" s="10" t="s">
        <v>160</v>
      </c>
      <c r="E34" s="10" t="s">
        <v>93</v>
      </c>
      <c r="F34" s="10">
        <v>5</v>
      </c>
      <c r="G34" s="10">
        <v>4</v>
      </c>
      <c r="H34" s="10">
        <v>2</v>
      </c>
      <c r="I34" s="10">
        <v>4</v>
      </c>
      <c r="J34" s="11">
        <f>IF(COUNTBLANK(F34:H34)&gt;0,"",F34*0.45+G34*0.35+H34*0.2)</f>
        <v>4.05</v>
      </c>
      <c r="K34" s="11" t="str">
        <f>IF(J34="","",IF(OR(E34="Ja",E34="Yes"),"Tier 0 – Foundation",INDEX('Class-Matrix'!$B$4:$B$7,MATCH(J34,'Class-Matrix'!$A$4:$A$7,1))))</f>
        <v>Tier 2 – Gold</v>
      </c>
      <c r="L34" s="12" t="str">
        <f>IF(K34="","",VLOOKUP(K34,'Class-Matrix'!$B$12:$H$16,2,FALSE()))</f>
        <v>&lt; 1 h</v>
      </c>
      <c r="M34" s="12" t="str">
        <f>IF(K34="","",VLOOKUP(K34,'Class-Matrix'!$B$12:$H$16,3,FALSE()))</f>
        <v>&lt; 4 h</v>
      </c>
      <c r="N34" s="12" t="str">
        <f>IF(K34="","",VLOOKUP(K34,'Class-Matrix'!$B$12:$H$16,4,FALSE()))</f>
        <v>Multiple daily backups + optional replication, semi-automated VRO runbook</v>
      </c>
      <c r="O34" s="10"/>
      <c r="P34" s="10"/>
      <c r="Q34" s="10"/>
      <c r="R34" s="10" t="s">
        <v>161</v>
      </c>
    </row>
    <row r="35" spans="1:18" ht="25.5" customHeight="1">
      <c r="A35" s="7">
        <v>34</v>
      </c>
      <c r="B35" s="10" t="s">
        <v>162</v>
      </c>
      <c r="C35" s="10" t="s">
        <v>112</v>
      </c>
      <c r="D35" s="10" t="s">
        <v>163</v>
      </c>
      <c r="E35" s="10" t="s">
        <v>93</v>
      </c>
      <c r="F35" s="10">
        <v>4</v>
      </c>
      <c r="G35" s="10">
        <v>3</v>
      </c>
      <c r="H35" s="10">
        <v>2</v>
      </c>
      <c r="I35" s="10">
        <v>2</v>
      </c>
      <c r="J35" s="11">
        <f>IF(COUNTBLANK(F35:H35)&gt;0,"",F35*0.45+G35*0.35+H35*0.2)</f>
        <v>3.2499999999999996</v>
      </c>
      <c r="K35" s="11" t="str">
        <f>IF(J35="","",IF(OR(E35="Ja",E35="Yes"),"Tier 0 – Foundation",INDEX('Class-Matrix'!$B$4:$B$7,MATCH(J35,'Class-Matrix'!$A$4:$A$7,1))))</f>
        <v>Tier 3 – Silver</v>
      </c>
      <c r="L35" s="12" t="str">
        <f>IF(K35="","",VLOOKUP(K35,'Class-Matrix'!$B$12:$H$16,2,FALSE()))</f>
        <v>&lt; 4 h</v>
      </c>
      <c r="M35" s="12" t="str">
        <f>IF(K35="","",VLOOKUP(K35,'Class-Matrix'!$B$12:$H$16,3,FALSE()))</f>
        <v>&lt; 24 h</v>
      </c>
      <c r="N35" s="12" t="str">
        <f>IF(K35="","",VLOOKUP(K35,'Class-Matrix'!$B$12:$H$16,4,FALSE()))</f>
        <v>Daily backup, immutability optional, standardized VRO runbook</v>
      </c>
      <c r="O35" s="10"/>
      <c r="P35" s="10"/>
      <c r="Q35" s="10"/>
      <c r="R35" s="10" t="s">
        <v>164</v>
      </c>
    </row>
    <row r="36" spans="1:18" ht="25.5" customHeight="1">
      <c r="A36" s="7">
        <v>35</v>
      </c>
      <c r="B36" s="10" t="s">
        <v>165</v>
      </c>
      <c r="C36" s="10" t="s">
        <v>86</v>
      </c>
      <c r="D36" s="10" t="s">
        <v>166</v>
      </c>
      <c r="E36" s="10" t="s">
        <v>93</v>
      </c>
      <c r="F36" s="10">
        <v>5</v>
      </c>
      <c r="G36" s="10">
        <v>4</v>
      </c>
      <c r="H36" s="10">
        <v>4</v>
      </c>
      <c r="I36" s="10">
        <v>4</v>
      </c>
      <c r="J36" s="11">
        <f>IF(COUNTBLANK(F36:H36)&gt;0,"",F36*0.45+G36*0.35+H36*0.2)</f>
        <v>4.45</v>
      </c>
      <c r="K36" s="11" t="str">
        <f>IF(J36="","",IF(OR(E36="Ja",E36="Yes"),"Tier 0 – Foundation",INDEX('Class-Matrix'!$B$4:$B$7,MATCH(J36,'Class-Matrix'!$A$4:$A$7,1))))</f>
        <v>Tier 1 – Platinum</v>
      </c>
      <c r="L36" s="12" t="str">
        <f>IF(K36="","",VLOOKUP(K36,'Class-Matrix'!$B$12:$H$16,2,FALSE()))</f>
        <v>&lt; 15 min</v>
      </c>
      <c r="M36" s="12" t="str">
        <f>IF(K36="","",VLOOKUP(K36,'Class-Matrix'!$B$12:$H$16,3,FALSE()))</f>
        <v>&lt; 1 h</v>
      </c>
      <c r="N36" s="12" t="str">
        <f>IF(K36="","",VLOOKUP(K36,'Class-Matrix'!$B$12:$H$16,4,FALSE()))</f>
        <v>Near-CDP replication + immutable backup, automated VRO orchestration plan with failover</v>
      </c>
      <c r="O36" s="10"/>
      <c r="P36" s="10"/>
      <c r="Q36" s="10" t="s">
        <v>167</v>
      </c>
      <c r="R36" s="10" t="s">
        <v>168</v>
      </c>
    </row>
    <row r="37" spans="1:18" ht="25.5" customHeight="1">
      <c r="A37" s="7">
        <v>36</v>
      </c>
      <c r="B37" s="10" t="s">
        <v>169</v>
      </c>
      <c r="C37" s="10" t="s">
        <v>80</v>
      </c>
      <c r="D37" s="10" t="s">
        <v>170</v>
      </c>
      <c r="E37" s="10" t="s">
        <v>93</v>
      </c>
      <c r="F37" s="10">
        <v>5</v>
      </c>
      <c r="G37" s="10">
        <v>4</v>
      </c>
      <c r="H37" s="10">
        <v>4</v>
      </c>
      <c r="I37" s="10">
        <v>2</v>
      </c>
      <c r="J37" s="11">
        <f>IF(COUNTBLANK(F37:H37)&gt;0,"",F37*0.45+G37*0.35+H37*0.2)</f>
        <v>4.45</v>
      </c>
      <c r="K37" s="11" t="str">
        <f>IF(J37="","",IF(OR(E37="Ja",E37="Yes"),"Tier 0 – Foundation",INDEX('Class-Matrix'!$B$4:$B$7,MATCH(J37,'Class-Matrix'!$A$4:$A$7,1))))</f>
        <v>Tier 1 – Platinum</v>
      </c>
      <c r="L37" s="12" t="str">
        <f>IF(K37="","",VLOOKUP(K37,'Class-Matrix'!$B$12:$H$16,2,FALSE()))</f>
        <v>&lt; 15 min</v>
      </c>
      <c r="M37" s="12" t="str">
        <f>IF(K37="","",VLOOKUP(K37,'Class-Matrix'!$B$12:$H$16,3,FALSE()))</f>
        <v>&lt; 1 h</v>
      </c>
      <c r="N37" s="12" t="str">
        <f>IF(K37="","",VLOOKUP(K37,'Class-Matrix'!$B$12:$H$16,4,FALSE()))</f>
        <v>Near-CDP replication + immutable backup, automated VRO orchestration plan with failover</v>
      </c>
      <c r="O37" s="10"/>
      <c r="P37" s="10"/>
      <c r="Q37" s="10" t="s">
        <v>171</v>
      </c>
      <c r="R37" s="10" t="s">
        <v>172</v>
      </c>
    </row>
    <row r="38" spans="1:18" ht="25.5" customHeight="1">
      <c r="A38" s="7">
        <v>37</v>
      </c>
      <c r="B38" s="10" t="s">
        <v>173</v>
      </c>
      <c r="C38" s="10" t="s">
        <v>96</v>
      </c>
      <c r="D38" s="10" t="s">
        <v>174</v>
      </c>
      <c r="E38" s="10" t="s">
        <v>93</v>
      </c>
      <c r="F38" s="10">
        <v>5</v>
      </c>
      <c r="G38" s="10">
        <v>5</v>
      </c>
      <c r="H38" s="10">
        <v>2</v>
      </c>
      <c r="I38" s="10">
        <v>4</v>
      </c>
      <c r="J38" s="11">
        <f>IF(COUNTBLANK(F38:H38)&gt;0,"",F38*0.45+G38*0.35+H38*0.2)</f>
        <v>4.4000000000000004</v>
      </c>
      <c r="K38" s="11" t="str">
        <f>IF(J38="","",IF(OR(E38="Ja",E38="Yes"),"Tier 0 – Foundation",INDEX('Class-Matrix'!$B$4:$B$7,MATCH(J38,'Class-Matrix'!$A$4:$A$7,1))))</f>
        <v>Tier 1 – Platinum</v>
      </c>
      <c r="L38" s="12" t="str">
        <f>IF(K38="","",VLOOKUP(K38,'Class-Matrix'!$B$12:$H$16,2,FALSE()))</f>
        <v>&lt; 15 min</v>
      </c>
      <c r="M38" s="12" t="str">
        <f>IF(K38="","",VLOOKUP(K38,'Class-Matrix'!$B$12:$H$16,3,FALSE()))</f>
        <v>&lt; 1 h</v>
      </c>
      <c r="N38" s="12" t="str">
        <f>IF(K38="","",VLOOKUP(K38,'Class-Matrix'!$B$12:$H$16,4,FALSE()))</f>
        <v>Near-CDP replication + immutable backup, automated VRO orchestration plan with failover</v>
      </c>
      <c r="O38" s="10"/>
      <c r="P38" s="10"/>
      <c r="Q38" s="10" t="s">
        <v>175</v>
      </c>
      <c r="R38" s="10" t="s">
        <v>172</v>
      </c>
    </row>
    <row r="39" spans="1:18" ht="25.5" customHeight="1">
      <c r="A39" s="7">
        <v>38</v>
      </c>
      <c r="B39" s="10" t="s">
        <v>176</v>
      </c>
      <c r="C39" s="10" t="s">
        <v>83</v>
      </c>
      <c r="D39" s="10" t="s">
        <v>177</v>
      </c>
      <c r="E39" s="10" t="s">
        <v>93</v>
      </c>
      <c r="F39" s="10">
        <v>3</v>
      </c>
      <c r="G39" s="10">
        <v>4</v>
      </c>
      <c r="H39" s="10">
        <v>3</v>
      </c>
      <c r="I39" s="10">
        <v>4</v>
      </c>
      <c r="J39" s="11">
        <f>IF(COUNTBLANK(F39:H39)&gt;0,"",F39*0.45+G39*0.35+H39*0.2)</f>
        <v>3.35</v>
      </c>
      <c r="K39" s="11" t="str">
        <f>IF(J39="","",IF(OR(E39="Ja",E39="Yes"),"Tier 0 – Foundation",INDEX('Class-Matrix'!$B$4:$B$7,MATCH(J39,'Class-Matrix'!$A$4:$A$7,1))))</f>
        <v>Tier 3 – Silver</v>
      </c>
      <c r="L39" s="12" t="str">
        <f>IF(K39="","",VLOOKUP(K39,'Class-Matrix'!$B$12:$H$16,2,FALSE()))</f>
        <v>&lt; 4 h</v>
      </c>
      <c r="M39" s="12" t="str">
        <f>IF(K39="","",VLOOKUP(K39,'Class-Matrix'!$B$12:$H$16,3,FALSE()))</f>
        <v>&lt; 24 h</v>
      </c>
      <c r="N39" s="12" t="str">
        <f>IF(K39="","",VLOOKUP(K39,'Class-Matrix'!$B$12:$H$16,4,FALSE()))</f>
        <v>Daily backup, immutability optional, standardized VRO runbook</v>
      </c>
      <c r="O39" s="10"/>
      <c r="P39" s="10"/>
      <c r="Q39" s="10"/>
      <c r="R39" s="10" t="s">
        <v>178</v>
      </c>
    </row>
    <row r="40" spans="1:18" ht="25.5" customHeight="1">
      <c r="A40" s="7">
        <v>39</v>
      </c>
      <c r="B40" s="10" t="s">
        <v>179</v>
      </c>
      <c r="C40" s="10" t="s">
        <v>115</v>
      </c>
      <c r="D40" s="10" t="s">
        <v>180</v>
      </c>
      <c r="E40" s="10" t="s">
        <v>93</v>
      </c>
      <c r="F40" s="10">
        <v>4</v>
      </c>
      <c r="G40" s="10">
        <v>3</v>
      </c>
      <c r="H40" s="10">
        <v>3</v>
      </c>
      <c r="I40" s="10">
        <v>3</v>
      </c>
      <c r="J40" s="11">
        <f>IF(COUNTBLANK(F40:H40)&gt;0,"",F40*0.45+G40*0.35+H40*0.2)</f>
        <v>3.4499999999999997</v>
      </c>
      <c r="K40" s="11" t="str">
        <f>IF(J40="","",IF(OR(E40="Ja",E40="Yes"),"Tier 0 – Foundation",INDEX('Class-Matrix'!$B$4:$B$7,MATCH(J40,'Class-Matrix'!$A$4:$A$7,1))))</f>
        <v>Tier 3 – Silver</v>
      </c>
      <c r="L40" s="12" t="str">
        <f>IF(K40="","",VLOOKUP(K40,'Class-Matrix'!$B$12:$H$16,2,FALSE()))</f>
        <v>&lt; 4 h</v>
      </c>
      <c r="M40" s="12" t="str">
        <f>IF(K40="","",VLOOKUP(K40,'Class-Matrix'!$B$12:$H$16,3,FALSE()))</f>
        <v>&lt; 24 h</v>
      </c>
      <c r="N40" s="12" t="str">
        <f>IF(K40="","",VLOOKUP(K40,'Class-Matrix'!$B$12:$H$16,4,FALSE()))</f>
        <v>Daily backup, immutability optional, standardized VRO runbook</v>
      </c>
      <c r="O40" s="10"/>
      <c r="P40" s="10"/>
      <c r="Q40" s="10"/>
      <c r="R40" s="10" t="s">
        <v>181</v>
      </c>
    </row>
    <row r="41" spans="1:18" ht="25.5" customHeight="1">
      <c r="A41" s="7">
        <v>40</v>
      </c>
      <c r="B41" s="10" t="s">
        <v>182</v>
      </c>
      <c r="C41" s="10" t="s">
        <v>183</v>
      </c>
      <c r="D41" s="10" t="s">
        <v>184</v>
      </c>
      <c r="E41" s="10" t="s">
        <v>93</v>
      </c>
      <c r="F41" s="10">
        <v>3</v>
      </c>
      <c r="G41" s="10">
        <v>2</v>
      </c>
      <c r="H41" s="10">
        <v>2</v>
      </c>
      <c r="I41" s="10">
        <v>3</v>
      </c>
      <c r="J41" s="11">
        <f>IF(COUNTBLANK(F41:H41)&gt;0,"",F41*0.45+G41*0.35+H41*0.2)</f>
        <v>2.4499999999999997</v>
      </c>
      <c r="K41" s="11" t="str">
        <f>IF(J41="","",IF(OR(E41="Ja",E41="Yes"),"Tier 0 – Foundation",INDEX('Class-Matrix'!$B$4:$B$7,MATCH(J41,'Class-Matrix'!$A$4:$A$7,1))))</f>
        <v>Tier 4 – Bronze</v>
      </c>
      <c r="L41" s="12" t="str">
        <f>IF(K41="","",VLOOKUP(K41,'Class-Matrix'!$B$12:$H$16,2,FALSE()))</f>
        <v>&lt; 24 h</v>
      </c>
      <c r="M41" s="12" t="str">
        <f>IF(K41="","",VLOOKUP(K41,'Class-Matrix'!$B$12:$H$16,3,FALSE()))</f>
        <v>&lt; 72 h / best effort</v>
      </c>
      <c r="N41" s="12" t="str">
        <f>IF(K41="","",VLOOKUP(K41,'Class-Matrix'!$B$12:$H$16,4,FALSE()))</f>
        <v>Standard backup policy (daily/weekly), manual recovery acceptable</v>
      </c>
      <c r="O41" s="10"/>
      <c r="P41" s="10"/>
      <c r="Q41" s="10" t="s">
        <v>185</v>
      </c>
      <c r="R41" s="10" t="s">
        <v>186</v>
      </c>
    </row>
    <row r="42" spans="1:18" ht="25.5" customHeight="1">
      <c r="A42" s="7">
        <v>41</v>
      </c>
      <c r="B42" s="10" t="s">
        <v>187</v>
      </c>
      <c r="C42" s="10" t="s">
        <v>86</v>
      </c>
      <c r="D42" s="10" t="s">
        <v>188</v>
      </c>
      <c r="E42" s="10" t="s">
        <v>93</v>
      </c>
      <c r="F42" s="10">
        <v>2</v>
      </c>
      <c r="G42" s="10">
        <v>2</v>
      </c>
      <c r="H42" s="10">
        <v>4</v>
      </c>
      <c r="I42" s="10">
        <v>3</v>
      </c>
      <c r="J42" s="11">
        <f>IF(COUNTBLANK(F42:H42)&gt;0,"",F42*0.45+G42*0.35+H42*0.2)</f>
        <v>2.4000000000000004</v>
      </c>
      <c r="K42" s="11" t="str">
        <f>IF(J42="","",IF(OR(E42="Ja",E42="Yes"),"Tier 0 – Foundation",INDEX('Class-Matrix'!$B$4:$B$7,MATCH(J42,'Class-Matrix'!$A$4:$A$7,1))))</f>
        <v>Tier 4 – Bronze</v>
      </c>
      <c r="L42" s="12" t="str">
        <f>IF(K42="","",VLOOKUP(K42,'Class-Matrix'!$B$12:$H$16,2,FALSE()))</f>
        <v>&lt; 24 h</v>
      </c>
      <c r="M42" s="12" t="str">
        <f>IF(K42="","",VLOOKUP(K42,'Class-Matrix'!$B$12:$H$16,3,FALSE()))</f>
        <v>&lt; 72 h / best effort</v>
      </c>
      <c r="N42" s="12" t="str">
        <f>IF(K42="","",VLOOKUP(K42,'Class-Matrix'!$B$12:$H$16,4,FALSE()))</f>
        <v>Standard backup policy (daily/weekly), manual recovery acceptable</v>
      </c>
      <c r="O42" s="10"/>
      <c r="P42" s="10"/>
      <c r="Q42" s="10" t="s">
        <v>189</v>
      </c>
      <c r="R42" s="10" t="s">
        <v>190</v>
      </c>
    </row>
    <row r="43" spans="1:18" ht="25.5" customHeight="1">
      <c r="A43" s="7">
        <v>42</v>
      </c>
      <c r="B43" s="10" t="s">
        <v>191</v>
      </c>
      <c r="C43" s="10" t="s">
        <v>96</v>
      </c>
      <c r="D43" s="10" t="s">
        <v>192</v>
      </c>
      <c r="E43" s="10" t="s">
        <v>93</v>
      </c>
      <c r="F43" s="10">
        <v>2</v>
      </c>
      <c r="G43" s="10">
        <v>2</v>
      </c>
      <c r="H43" s="10">
        <v>3</v>
      </c>
      <c r="I43" s="10">
        <v>2</v>
      </c>
      <c r="J43" s="11">
        <f>IF(COUNTBLANK(F43:H43)&gt;0,"",F43*0.45+G43*0.35+H43*0.2)</f>
        <v>2.2000000000000002</v>
      </c>
      <c r="K43" s="11" t="str">
        <f>IF(J43="","",IF(OR(E43="Ja",E43="Yes"),"Tier 0 – Foundation",INDEX('Class-Matrix'!$B$4:$B$7,MATCH(J43,'Class-Matrix'!$A$4:$A$7,1))))</f>
        <v>Tier 4 – Bronze</v>
      </c>
      <c r="L43" s="12" t="str">
        <f>IF(K43="","",VLOOKUP(K43,'Class-Matrix'!$B$12:$H$16,2,FALSE()))</f>
        <v>&lt; 24 h</v>
      </c>
      <c r="M43" s="12" t="str">
        <f>IF(K43="","",VLOOKUP(K43,'Class-Matrix'!$B$12:$H$16,3,FALSE()))</f>
        <v>&lt; 72 h / best effort</v>
      </c>
      <c r="N43" s="12" t="str">
        <f>IF(K43="","",VLOOKUP(K43,'Class-Matrix'!$B$12:$H$16,4,FALSE()))</f>
        <v>Standard backup policy (daily/weekly), manual recovery acceptable</v>
      </c>
      <c r="O43" s="10"/>
      <c r="P43" s="10"/>
      <c r="Q43" s="10"/>
      <c r="R43" s="10" t="s">
        <v>193</v>
      </c>
    </row>
    <row r="44" spans="1:18" ht="25.5" customHeight="1">
      <c r="A44" s="7">
        <v>43</v>
      </c>
      <c r="B44" s="10" t="s">
        <v>194</v>
      </c>
      <c r="C44" s="10" t="s">
        <v>89</v>
      </c>
      <c r="D44" s="10" t="s">
        <v>195</v>
      </c>
      <c r="E44" s="10" t="s">
        <v>93</v>
      </c>
      <c r="F44" s="10">
        <v>2</v>
      </c>
      <c r="G44" s="10">
        <v>3</v>
      </c>
      <c r="H44" s="10">
        <v>4</v>
      </c>
      <c r="I44" s="10">
        <v>2</v>
      </c>
      <c r="J44" s="11">
        <f>IF(COUNTBLANK(F44:H44)&gt;0,"",F44*0.45+G44*0.35+H44*0.2)</f>
        <v>2.75</v>
      </c>
      <c r="K44" s="11" t="str">
        <f>IF(J44="","",IF(OR(E44="Ja",E44="Yes"),"Tier 0 – Foundation",INDEX('Class-Matrix'!$B$4:$B$7,MATCH(J44,'Class-Matrix'!$A$4:$A$7,1))))</f>
        <v>Tier 3 – Silver</v>
      </c>
      <c r="L44" s="12" t="str">
        <f>IF(K44="","",VLOOKUP(K44,'Class-Matrix'!$B$12:$H$16,2,FALSE()))</f>
        <v>&lt; 4 h</v>
      </c>
      <c r="M44" s="12" t="str">
        <f>IF(K44="","",VLOOKUP(K44,'Class-Matrix'!$B$12:$H$16,3,FALSE()))</f>
        <v>&lt; 24 h</v>
      </c>
      <c r="N44" s="12" t="str">
        <f>IF(K44="","",VLOOKUP(K44,'Class-Matrix'!$B$12:$H$16,4,FALSE()))</f>
        <v>Daily backup, immutability optional, standardized VRO runbook</v>
      </c>
      <c r="O44" s="10"/>
      <c r="P44" s="10"/>
      <c r="Q44" s="10"/>
      <c r="R44" s="10" t="s">
        <v>196</v>
      </c>
    </row>
    <row r="45" spans="1:18" ht="25.5" customHeight="1">
      <c r="A45" s="7">
        <v>44</v>
      </c>
      <c r="B45" s="10" t="s">
        <v>197</v>
      </c>
      <c r="C45" s="10" t="s">
        <v>183</v>
      </c>
      <c r="D45" s="10" t="s">
        <v>198</v>
      </c>
      <c r="E45" s="10" t="s">
        <v>93</v>
      </c>
      <c r="F45" s="10">
        <v>3</v>
      </c>
      <c r="G45" s="10">
        <v>2</v>
      </c>
      <c r="H45" s="10">
        <v>2</v>
      </c>
      <c r="I45" s="10">
        <v>4</v>
      </c>
      <c r="J45" s="11">
        <f>IF(COUNTBLANK(F45:H45)&gt;0,"",F45*0.45+G45*0.35+H45*0.2)</f>
        <v>2.4499999999999997</v>
      </c>
      <c r="K45" s="11" t="str">
        <f>IF(J45="","",IF(OR(E45="Ja",E45="Yes"),"Tier 0 – Foundation",INDEX('Class-Matrix'!$B$4:$B$7,MATCH(J45,'Class-Matrix'!$A$4:$A$7,1))))</f>
        <v>Tier 4 – Bronze</v>
      </c>
      <c r="L45" s="12" t="str">
        <f>IF(K45="","",VLOOKUP(K45,'Class-Matrix'!$B$12:$H$16,2,FALSE()))</f>
        <v>&lt; 24 h</v>
      </c>
      <c r="M45" s="12" t="str">
        <f>IF(K45="","",VLOOKUP(K45,'Class-Matrix'!$B$12:$H$16,3,FALSE()))</f>
        <v>&lt; 72 h / best effort</v>
      </c>
      <c r="N45" s="12" t="str">
        <f>IF(K45="","",VLOOKUP(K45,'Class-Matrix'!$B$12:$H$16,4,FALSE()))</f>
        <v>Standard backup policy (daily/weekly), manual recovery acceptable</v>
      </c>
      <c r="O45" s="10"/>
      <c r="P45" s="10"/>
      <c r="Q45" s="10"/>
      <c r="R45" s="10" t="s">
        <v>199</v>
      </c>
    </row>
    <row r="46" spans="1:18" ht="25.5" customHeight="1">
      <c r="A46" s="7">
        <v>45</v>
      </c>
      <c r="B46" s="10" t="s">
        <v>200</v>
      </c>
      <c r="C46" s="10" t="s">
        <v>77</v>
      </c>
      <c r="D46" s="10" t="s">
        <v>201</v>
      </c>
      <c r="E46" s="10" t="s">
        <v>93</v>
      </c>
      <c r="F46" s="10">
        <v>3</v>
      </c>
      <c r="G46" s="10">
        <v>3</v>
      </c>
      <c r="H46" s="10">
        <v>3</v>
      </c>
      <c r="I46" s="10">
        <v>3</v>
      </c>
      <c r="J46" s="11">
        <f>IF(COUNTBLANK(F46:H46)&gt;0,"",F46*0.45+G46*0.35+H46*0.2)</f>
        <v>3</v>
      </c>
      <c r="K46" s="11" t="str">
        <f>IF(J46="","",IF(OR(E46="Ja",E46="Yes"),"Tier 0 – Foundation",INDEX('Class-Matrix'!$B$4:$B$7,MATCH(J46,'Class-Matrix'!$A$4:$A$7,1))))</f>
        <v>Tier 3 – Silver</v>
      </c>
      <c r="L46" s="12" t="str">
        <f>IF(K46="","",VLOOKUP(K46,'Class-Matrix'!$B$12:$H$16,2,FALSE()))</f>
        <v>&lt; 4 h</v>
      </c>
      <c r="M46" s="12" t="str">
        <f>IF(K46="","",VLOOKUP(K46,'Class-Matrix'!$B$12:$H$16,3,FALSE()))</f>
        <v>&lt; 24 h</v>
      </c>
      <c r="N46" s="12" t="str">
        <f>IF(K46="","",VLOOKUP(K46,'Class-Matrix'!$B$12:$H$16,4,FALSE()))</f>
        <v>Daily backup, immutability optional, standardized VRO runbook</v>
      </c>
      <c r="O46" s="10"/>
      <c r="P46" s="10"/>
      <c r="Q46" s="10"/>
      <c r="R46" s="10" t="s">
        <v>199</v>
      </c>
    </row>
    <row r="47" spans="1:18" ht="25.5" customHeight="1">
      <c r="A47" s="7">
        <v>46</v>
      </c>
      <c r="B47" s="10" t="s">
        <v>202</v>
      </c>
      <c r="C47" s="10" t="s">
        <v>77</v>
      </c>
      <c r="D47" s="10" t="s">
        <v>203</v>
      </c>
      <c r="E47" s="10" t="s">
        <v>93</v>
      </c>
      <c r="F47" s="10">
        <v>3</v>
      </c>
      <c r="G47" s="10">
        <v>3</v>
      </c>
      <c r="H47" s="10">
        <v>4</v>
      </c>
      <c r="I47" s="10">
        <v>3</v>
      </c>
      <c r="J47" s="11">
        <f>IF(COUNTBLANK(F47:H47)&gt;0,"",F47*0.45+G47*0.35+H47*0.2)</f>
        <v>3.2</v>
      </c>
      <c r="K47" s="11" t="str">
        <f>IF(J47="","",IF(OR(E47="Ja",E47="Yes"),"Tier 0 – Foundation",INDEX('Class-Matrix'!$B$4:$B$7,MATCH(J47,'Class-Matrix'!$A$4:$A$7,1))))</f>
        <v>Tier 3 – Silver</v>
      </c>
      <c r="L47" s="12" t="str">
        <f>IF(K47="","",VLOOKUP(K47,'Class-Matrix'!$B$12:$H$16,2,FALSE()))</f>
        <v>&lt; 4 h</v>
      </c>
      <c r="M47" s="12" t="str">
        <f>IF(K47="","",VLOOKUP(K47,'Class-Matrix'!$B$12:$H$16,3,FALSE()))</f>
        <v>&lt; 24 h</v>
      </c>
      <c r="N47" s="12" t="str">
        <f>IF(K47="","",VLOOKUP(K47,'Class-Matrix'!$B$12:$H$16,4,FALSE()))</f>
        <v>Daily backup, immutability optional, standardized VRO runbook</v>
      </c>
      <c r="O47" s="10"/>
      <c r="P47" s="10"/>
      <c r="Q47" s="10"/>
      <c r="R47" s="10" t="s">
        <v>204</v>
      </c>
    </row>
    <row r="48" spans="1:18" ht="25.5" customHeight="1">
      <c r="A48" s="7">
        <v>47</v>
      </c>
      <c r="B48" s="10" t="s">
        <v>205</v>
      </c>
      <c r="C48" s="10" t="s">
        <v>115</v>
      </c>
      <c r="D48" s="10" t="s">
        <v>206</v>
      </c>
      <c r="E48" s="10" t="s">
        <v>93</v>
      </c>
      <c r="F48" s="10">
        <v>3</v>
      </c>
      <c r="G48" s="10">
        <v>4</v>
      </c>
      <c r="H48" s="10">
        <v>3</v>
      </c>
      <c r="I48" s="10">
        <v>2</v>
      </c>
      <c r="J48" s="11">
        <f>IF(COUNTBLANK(F48:H48)&gt;0,"",F48*0.45+G48*0.35+H48*0.2)</f>
        <v>3.35</v>
      </c>
      <c r="K48" s="11" t="str">
        <f>IF(J48="","",IF(OR(E48="Ja",E48="Yes"),"Tier 0 – Foundation",INDEX('Class-Matrix'!$B$4:$B$7,MATCH(J48,'Class-Matrix'!$A$4:$A$7,1))))</f>
        <v>Tier 3 – Silver</v>
      </c>
      <c r="L48" s="12" t="str">
        <f>IF(K48="","",VLOOKUP(K48,'Class-Matrix'!$B$12:$H$16,2,FALSE()))</f>
        <v>&lt; 4 h</v>
      </c>
      <c r="M48" s="12" t="str">
        <f>IF(K48="","",VLOOKUP(K48,'Class-Matrix'!$B$12:$H$16,3,FALSE()))</f>
        <v>&lt; 24 h</v>
      </c>
      <c r="N48" s="12" t="str">
        <f>IF(K48="","",VLOOKUP(K48,'Class-Matrix'!$B$12:$H$16,4,FALSE()))</f>
        <v>Daily backup, immutability optional, standardized VRO runbook</v>
      </c>
      <c r="O48" s="10"/>
      <c r="P48" s="10"/>
      <c r="Q48" s="10"/>
      <c r="R48" s="10" t="s">
        <v>94</v>
      </c>
    </row>
    <row r="49" spans="1:18" ht="25.5" customHeight="1">
      <c r="A49" s="7">
        <v>48</v>
      </c>
      <c r="B49" s="10" t="s">
        <v>207</v>
      </c>
      <c r="C49" s="10" t="s">
        <v>77</v>
      </c>
      <c r="D49" s="10" t="s">
        <v>208</v>
      </c>
      <c r="E49" s="10" t="s">
        <v>93</v>
      </c>
      <c r="F49" s="10">
        <v>2</v>
      </c>
      <c r="G49" s="10">
        <v>4</v>
      </c>
      <c r="H49" s="10">
        <v>2</v>
      </c>
      <c r="I49" s="10">
        <v>2</v>
      </c>
      <c r="J49" s="11">
        <f>IF(COUNTBLANK(F49:H49)&gt;0,"",F49*0.45+G49*0.35+H49*0.2)</f>
        <v>2.6999999999999997</v>
      </c>
      <c r="K49" s="11" t="str">
        <f>IF(J49="","",IF(OR(E49="Ja",E49="Yes"),"Tier 0 – Foundation",INDEX('Class-Matrix'!$B$4:$B$7,MATCH(J49,'Class-Matrix'!$A$4:$A$7,1))))</f>
        <v>Tier 3 – Silver</v>
      </c>
      <c r="L49" s="12" t="str">
        <f>IF(K49="","",VLOOKUP(K49,'Class-Matrix'!$B$12:$H$16,2,FALSE()))</f>
        <v>&lt; 4 h</v>
      </c>
      <c r="M49" s="12" t="str">
        <f>IF(K49="","",VLOOKUP(K49,'Class-Matrix'!$B$12:$H$16,3,FALSE()))</f>
        <v>&lt; 24 h</v>
      </c>
      <c r="N49" s="12" t="str">
        <f>IF(K49="","",VLOOKUP(K49,'Class-Matrix'!$B$12:$H$16,4,FALSE()))</f>
        <v>Daily backup, immutability optional, standardized VRO runbook</v>
      </c>
      <c r="O49" s="10"/>
      <c r="P49" s="10"/>
      <c r="Q49" s="10"/>
      <c r="R49" s="10" t="s">
        <v>94</v>
      </c>
    </row>
    <row r="50" spans="1:18" ht="25.5" customHeight="1">
      <c r="A50" s="7">
        <v>49</v>
      </c>
      <c r="B50" s="10" t="s">
        <v>209</v>
      </c>
      <c r="C50" s="10" t="s">
        <v>183</v>
      </c>
      <c r="D50" s="10" t="s">
        <v>210</v>
      </c>
      <c r="E50" s="10" t="s">
        <v>93</v>
      </c>
      <c r="F50" s="10">
        <v>3</v>
      </c>
      <c r="G50" s="10">
        <v>3</v>
      </c>
      <c r="H50" s="10">
        <v>3</v>
      </c>
      <c r="I50" s="10">
        <v>3</v>
      </c>
      <c r="J50" s="11">
        <f>IF(COUNTBLANK(F50:H50)&gt;0,"",F50*0.45+G50*0.35+H50*0.2)</f>
        <v>3</v>
      </c>
      <c r="K50" s="11" t="str">
        <f>IF(J50="","",IF(OR(E50="Ja",E50="Yes"),"Tier 0 – Foundation",INDEX('Class-Matrix'!$B$4:$B$7,MATCH(J50,'Class-Matrix'!$A$4:$A$7,1))))</f>
        <v>Tier 3 – Silver</v>
      </c>
      <c r="L50" s="12" t="str">
        <f>IF(K50="","",VLOOKUP(K50,'Class-Matrix'!$B$12:$H$16,2,FALSE()))</f>
        <v>&lt; 4 h</v>
      </c>
      <c r="M50" s="12" t="str">
        <f>IF(K50="","",VLOOKUP(K50,'Class-Matrix'!$B$12:$H$16,3,FALSE()))</f>
        <v>&lt; 24 h</v>
      </c>
      <c r="N50" s="12" t="str">
        <f>IF(K50="","",VLOOKUP(K50,'Class-Matrix'!$B$12:$H$16,4,FALSE()))</f>
        <v>Daily backup, immutability optional, standardized VRO runbook</v>
      </c>
      <c r="O50" s="10"/>
      <c r="P50" s="10"/>
      <c r="Q50" s="10"/>
      <c r="R50" s="10" t="s">
        <v>94</v>
      </c>
    </row>
    <row r="51" spans="1:18" ht="25.5" customHeight="1">
      <c r="A51" s="7">
        <v>50</v>
      </c>
      <c r="B51" s="10" t="s">
        <v>211</v>
      </c>
      <c r="C51" s="10" t="s">
        <v>183</v>
      </c>
      <c r="D51" s="10" t="s">
        <v>212</v>
      </c>
      <c r="E51" s="10" t="s">
        <v>93</v>
      </c>
      <c r="F51" s="10">
        <v>2</v>
      </c>
      <c r="G51" s="10">
        <v>3</v>
      </c>
      <c r="H51" s="10">
        <v>3</v>
      </c>
      <c r="I51" s="10">
        <v>3</v>
      </c>
      <c r="J51" s="11">
        <f>IF(COUNTBLANK(F51:H51)&gt;0,"",F51*0.45+G51*0.35+H51*0.2)</f>
        <v>2.5499999999999998</v>
      </c>
      <c r="K51" s="11" t="str">
        <f>IF(J51="","",IF(OR(E51="Ja",E51="Yes"),"Tier 0 – Foundation",INDEX('Class-Matrix'!$B$4:$B$7,MATCH(J51,'Class-Matrix'!$A$4:$A$7,1))))</f>
        <v>Tier 3 – Silver</v>
      </c>
      <c r="L51" s="12" t="str">
        <f>IF(K51="","",VLOOKUP(K51,'Class-Matrix'!$B$12:$H$16,2,FALSE()))</f>
        <v>&lt; 4 h</v>
      </c>
      <c r="M51" s="12" t="str">
        <f>IF(K51="","",VLOOKUP(K51,'Class-Matrix'!$B$12:$H$16,3,FALSE()))</f>
        <v>&lt; 24 h</v>
      </c>
      <c r="N51" s="12" t="str">
        <f>IF(K51="","",VLOOKUP(K51,'Class-Matrix'!$B$12:$H$16,4,FALSE()))</f>
        <v>Daily backup, immutability optional, standardized VRO runbook</v>
      </c>
      <c r="O51" s="10"/>
      <c r="P51" s="10"/>
      <c r="Q51" s="10"/>
      <c r="R51" s="10" t="s">
        <v>94</v>
      </c>
    </row>
    <row r="52" spans="1:18" ht="25.5" customHeight="1">
      <c r="A52" s="7">
        <v>51</v>
      </c>
      <c r="B52" s="10" t="s">
        <v>213</v>
      </c>
      <c r="C52" s="10" t="s">
        <v>112</v>
      </c>
      <c r="D52" s="10" t="s">
        <v>214</v>
      </c>
      <c r="E52" s="10" t="s">
        <v>93</v>
      </c>
      <c r="F52" s="10">
        <v>3</v>
      </c>
      <c r="G52" s="10">
        <v>4</v>
      </c>
      <c r="H52" s="10">
        <v>3</v>
      </c>
      <c r="I52" s="10">
        <v>2</v>
      </c>
      <c r="J52" s="11">
        <f>IF(COUNTBLANK(F52:H52)&gt;0,"",F52*0.45+G52*0.35+H52*0.2)</f>
        <v>3.35</v>
      </c>
      <c r="K52" s="11" t="str">
        <f>IF(J52="","",IF(OR(E52="Ja",E52="Yes"),"Tier 0 – Foundation",INDEX('Class-Matrix'!$B$4:$B$7,MATCH(J52,'Class-Matrix'!$A$4:$A$7,1))))</f>
        <v>Tier 3 – Silver</v>
      </c>
      <c r="L52" s="12" t="str">
        <f>IF(K52="","",VLOOKUP(K52,'Class-Matrix'!$B$12:$H$16,2,FALSE()))</f>
        <v>&lt; 4 h</v>
      </c>
      <c r="M52" s="12" t="str">
        <f>IF(K52="","",VLOOKUP(K52,'Class-Matrix'!$B$12:$H$16,3,FALSE()))</f>
        <v>&lt; 24 h</v>
      </c>
      <c r="N52" s="12" t="str">
        <f>IF(K52="","",VLOOKUP(K52,'Class-Matrix'!$B$12:$H$16,4,FALSE()))</f>
        <v>Daily backup, immutability optional, standardized VRO runbook</v>
      </c>
      <c r="O52" s="10"/>
      <c r="P52" s="10"/>
      <c r="Q52" s="10"/>
      <c r="R52" s="10" t="s">
        <v>215</v>
      </c>
    </row>
    <row r="53" spans="1:18" ht="25.5" customHeight="1">
      <c r="A53" s="7">
        <v>52</v>
      </c>
      <c r="B53" s="10" t="s">
        <v>216</v>
      </c>
      <c r="C53" s="10" t="s">
        <v>86</v>
      </c>
      <c r="D53" s="10" t="s">
        <v>217</v>
      </c>
      <c r="E53" s="10" t="s">
        <v>93</v>
      </c>
      <c r="F53" s="10">
        <v>3</v>
      </c>
      <c r="G53" s="10">
        <v>2</v>
      </c>
      <c r="H53" s="10">
        <v>3</v>
      </c>
      <c r="I53" s="10">
        <v>3</v>
      </c>
      <c r="J53" s="11">
        <f>IF(COUNTBLANK(F53:H53)&gt;0,"",F53*0.45+G53*0.35+H53*0.2)</f>
        <v>2.65</v>
      </c>
      <c r="K53" s="11" t="str">
        <f>IF(J53="","",IF(OR(E53="Ja",E53="Yes"),"Tier 0 – Foundation",INDEX('Class-Matrix'!$B$4:$B$7,MATCH(J53,'Class-Matrix'!$A$4:$A$7,1))))</f>
        <v>Tier 3 – Silver</v>
      </c>
      <c r="L53" s="12" t="str">
        <f>IF(K53="","",VLOOKUP(K53,'Class-Matrix'!$B$12:$H$16,2,FALSE()))</f>
        <v>&lt; 4 h</v>
      </c>
      <c r="M53" s="12" t="str">
        <f>IF(K53="","",VLOOKUP(K53,'Class-Matrix'!$B$12:$H$16,3,FALSE()))</f>
        <v>&lt; 24 h</v>
      </c>
      <c r="N53" s="12" t="str">
        <f>IF(K53="","",VLOOKUP(K53,'Class-Matrix'!$B$12:$H$16,4,FALSE()))</f>
        <v>Daily backup, immutability optional, standardized VRO runbook</v>
      </c>
      <c r="O53" s="10"/>
      <c r="P53" s="10"/>
      <c r="Q53" s="10"/>
      <c r="R53" s="10" t="s">
        <v>218</v>
      </c>
    </row>
    <row r="54" spans="1:18" ht="25.5" customHeight="1">
      <c r="A54" s="7">
        <v>53</v>
      </c>
      <c r="B54" s="10" t="s">
        <v>219</v>
      </c>
      <c r="C54" s="10" t="s">
        <v>80</v>
      </c>
      <c r="D54" s="10" t="s">
        <v>220</v>
      </c>
      <c r="E54" s="10" t="s">
        <v>93</v>
      </c>
      <c r="F54" s="10">
        <v>1</v>
      </c>
      <c r="G54" s="10">
        <v>1</v>
      </c>
      <c r="H54" s="10">
        <v>2</v>
      </c>
      <c r="I54" s="10">
        <v>2</v>
      </c>
      <c r="J54" s="11">
        <f>IF(COUNTBLANK(F54:H54)&gt;0,"",F54*0.45+G54*0.35+H54*0.2)</f>
        <v>1.2000000000000002</v>
      </c>
      <c r="K54" s="11" t="str">
        <f>IF(J54="","",IF(OR(E54="Ja",E54="Yes"),"Tier 0 – Foundation",INDEX('Class-Matrix'!$B$4:$B$7,MATCH(J54,'Class-Matrix'!$A$4:$A$7,1))))</f>
        <v>Tier 4 – Bronze</v>
      </c>
      <c r="L54" s="12" t="str">
        <f>IF(K54="","",VLOOKUP(K54,'Class-Matrix'!$B$12:$H$16,2,FALSE()))</f>
        <v>&lt; 24 h</v>
      </c>
      <c r="M54" s="12" t="str">
        <f>IF(K54="","",VLOOKUP(K54,'Class-Matrix'!$B$12:$H$16,3,FALSE()))</f>
        <v>&lt; 72 h / best effort</v>
      </c>
      <c r="N54" s="12" t="str">
        <f>IF(K54="","",VLOOKUP(K54,'Class-Matrix'!$B$12:$H$16,4,FALSE()))</f>
        <v>Standard backup policy (daily/weekly), manual recovery acceptable</v>
      </c>
      <c r="O54" s="10"/>
      <c r="P54" s="10"/>
      <c r="Q54" s="10"/>
      <c r="R54" s="10" t="s">
        <v>94</v>
      </c>
    </row>
    <row r="55" spans="1:18" ht="25.5" customHeight="1">
      <c r="A55" s="7">
        <v>54</v>
      </c>
      <c r="B55" s="10" t="s">
        <v>221</v>
      </c>
      <c r="C55" s="10" t="s">
        <v>83</v>
      </c>
      <c r="D55" s="10" t="s">
        <v>222</v>
      </c>
      <c r="E55" s="10" t="s">
        <v>93</v>
      </c>
      <c r="F55" s="10">
        <v>2</v>
      </c>
      <c r="G55" s="10">
        <v>2</v>
      </c>
      <c r="H55" s="10">
        <v>2</v>
      </c>
      <c r="I55" s="10">
        <v>2</v>
      </c>
      <c r="J55" s="11">
        <f>IF(COUNTBLANK(F55:H55)&gt;0,"",F55*0.45+G55*0.35+H55*0.2)</f>
        <v>2</v>
      </c>
      <c r="K55" s="11" t="str">
        <f>IF(J55="","",IF(OR(E55="Ja",E55="Yes"),"Tier 0 – Foundation",INDEX('Class-Matrix'!$B$4:$B$7,MATCH(J55,'Class-Matrix'!$A$4:$A$7,1))))</f>
        <v>Tier 4 – Bronze</v>
      </c>
      <c r="L55" s="12" t="str">
        <f>IF(K55="","",VLOOKUP(K55,'Class-Matrix'!$B$12:$H$16,2,FALSE()))</f>
        <v>&lt; 24 h</v>
      </c>
      <c r="M55" s="12" t="str">
        <f>IF(K55="","",VLOOKUP(K55,'Class-Matrix'!$B$12:$H$16,3,FALSE()))</f>
        <v>&lt; 72 h / best effort</v>
      </c>
      <c r="N55" s="12" t="str">
        <f>IF(K55="","",VLOOKUP(K55,'Class-Matrix'!$B$12:$H$16,4,FALSE()))</f>
        <v>Standard backup policy (daily/weekly), manual recovery acceptable</v>
      </c>
      <c r="O55" s="10"/>
      <c r="P55" s="10"/>
      <c r="Q55" s="10"/>
      <c r="R55" s="10" t="s">
        <v>94</v>
      </c>
    </row>
    <row r="56" spans="1:18" ht="25.5" customHeight="1">
      <c r="A56" s="7">
        <v>55</v>
      </c>
      <c r="B56" s="10" t="s">
        <v>223</v>
      </c>
      <c r="C56" s="10" t="s">
        <v>159</v>
      </c>
      <c r="D56" s="10" t="s">
        <v>224</v>
      </c>
      <c r="E56" s="10" t="s">
        <v>93</v>
      </c>
      <c r="F56" s="10">
        <v>2</v>
      </c>
      <c r="G56" s="10">
        <v>3</v>
      </c>
      <c r="H56" s="10">
        <v>2</v>
      </c>
      <c r="I56" s="10">
        <v>1</v>
      </c>
      <c r="J56" s="11">
        <f>IF(COUNTBLANK(F56:H56)&gt;0,"",F56*0.45+G56*0.35+H56*0.2)</f>
        <v>2.3499999999999996</v>
      </c>
      <c r="K56" s="11" t="str">
        <f>IF(J56="","",IF(OR(E56="Ja",E56="Yes"),"Tier 0 – Foundation",INDEX('Class-Matrix'!$B$4:$B$7,MATCH(J56,'Class-Matrix'!$A$4:$A$7,1))))</f>
        <v>Tier 4 – Bronze</v>
      </c>
      <c r="L56" s="12" t="str">
        <f>IF(K56="","",VLOOKUP(K56,'Class-Matrix'!$B$12:$H$16,2,FALSE()))</f>
        <v>&lt; 24 h</v>
      </c>
      <c r="M56" s="12" t="str">
        <f>IF(K56="","",VLOOKUP(K56,'Class-Matrix'!$B$12:$H$16,3,FALSE()))</f>
        <v>&lt; 72 h / best effort</v>
      </c>
      <c r="N56" s="12" t="str">
        <f>IF(K56="","",VLOOKUP(K56,'Class-Matrix'!$B$12:$H$16,4,FALSE()))</f>
        <v>Standard backup policy (daily/weekly), manual recovery acceptable</v>
      </c>
      <c r="O56" s="10"/>
      <c r="P56" s="10"/>
      <c r="Q56" s="10"/>
      <c r="R56" s="10" t="s">
        <v>94</v>
      </c>
    </row>
    <row r="57" spans="1:18" ht="25.5" customHeight="1">
      <c r="A57" s="7">
        <v>56</v>
      </c>
      <c r="B57" s="10" t="s">
        <v>225</v>
      </c>
      <c r="C57" s="10" t="s">
        <v>107</v>
      </c>
      <c r="D57" s="10" t="s">
        <v>226</v>
      </c>
      <c r="E57" s="10" t="s">
        <v>93</v>
      </c>
      <c r="F57" s="10">
        <v>1</v>
      </c>
      <c r="G57" s="10">
        <v>3</v>
      </c>
      <c r="H57" s="10">
        <v>2</v>
      </c>
      <c r="I57" s="10">
        <v>1</v>
      </c>
      <c r="J57" s="11">
        <f>IF(COUNTBLANK(F57:H57)&gt;0,"",F57*0.45+G57*0.35+H57*0.2)</f>
        <v>1.9</v>
      </c>
      <c r="K57" s="11" t="str">
        <f>IF(J57="","",IF(OR(E57="Ja",E57="Yes"),"Tier 0 – Foundation",INDEX('Class-Matrix'!$B$4:$B$7,MATCH(J57,'Class-Matrix'!$A$4:$A$7,1))))</f>
        <v>Tier 4 – Bronze</v>
      </c>
      <c r="L57" s="12" t="str">
        <f>IF(K57="","",VLOOKUP(K57,'Class-Matrix'!$B$12:$H$16,2,FALSE()))</f>
        <v>&lt; 24 h</v>
      </c>
      <c r="M57" s="12" t="str">
        <f>IF(K57="","",VLOOKUP(K57,'Class-Matrix'!$B$12:$H$16,3,FALSE()))</f>
        <v>&lt; 72 h / best effort</v>
      </c>
      <c r="N57" s="12" t="str">
        <f>IF(K57="","",VLOOKUP(K57,'Class-Matrix'!$B$12:$H$16,4,FALSE()))</f>
        <v>Standard backup policy (daily/weekly), manual recovery acceptable</v>
      </c>
      <c r="O57" s="10"/>
      <c r="P57" s="10"/>
      <c r="Q57" s="10"/>
      <c r="R57" s="10" t="s">
        <v>94</v>
      </c>
    </row>
    <row r="58" spans="1:18" ht="25.5" customHeight="1">
      <c r="A58" s="7">
        <v>57</v>
      </c>
      <c r="B58" s="10" t="s">
        <v>227</v>
      </c>
      <c r="C58" s="10" t="s">
        <v>77</v>
      </c>
      <c r="D58" s="10" t="s">
        <v>228</v>
      </c>
      <c r="E58" s="10" t="s">
        <v>93</v>
      </c>
      <c r="F58" s="10">
        <v>1</v>
      </c>
      <c r="G58" s="10">
        <v>2</v>
      </c>
      <c r="H58" s="10">
        <v>2</v>
      </c>
      <c r="I58" s="10">
        <v>2</v>
      </c>
      <c r="J58" s="11">
        <f>IF(COUNTBLANK(F58:H58)&gt;0,"",F58*0.45+G58*0.35+H58*0.2)</f>
        <v>1.5499999999999998</v>
      </c>
      <c r="K58" s="11" t="str">
        <f>IF(J58="","",IF(OR(E58="Ja",E58="Yes"),"Tier 0 – Foundation",INDEX('Class-Matrix'!$B$4:$B$7,MATCH(J58,'Class-Matrix'!$A$4:$A$7,1))))</f>
        <v>Tier 4 – Bronze</v>
      </c>
      <c r="L58" s="12" t="str">
        <f>IF(K58="","",VLOOKUP(K58,'Class-Matrix'!$B$12:$H$16,2,FALSE()))</f>
        <v>&lt; 24 h</v>
      </c>
      <c r="M58" s="12" t="str">
        <f>IF(K58="","",VLOOKUP(K58,'Class-Matrix'!$B$12:$H$16,3,FALSE()))</f>
        <v>&lt; 72 h / best effort</v>
      </c>
      <c r="N58" s="12" t="str">
        <f>IF(K58="","",VLOOKUP(K58,'Class-Matrix'!$B$12:$H$16,4,FALSE()))</f>
        <v>Standard backup policy (daily/weekly), manual recovery acceptable</v>
      </c>
      <c r="O58" s="10"/>
      <c r="P58" s="10"/>
      <c r="Q58" s="10"/>
      <c r="R58" s="10" t="s">
        <v>94</v>
      </c>
    </row>
    <row r="59" spans="1:18" ht="25.5" customHeight="1">
      <c r="A59" s="7">
        <v>58</v>
      </c>
      <c r="B59" s="10" t="s">
        <v>229</v>
      </c>
      <c r="C59" s="10" t="s">
        <v>115</v>
      </c>
      <c r="D59" s="10" t="s">
        <v>230</v>
      </c>
      <c r="E59" s="10" t="s">
        <v>93</v>
      </c>
      <c r="F59" s="10">
        <v>2</v>
      </c>
      <c r="G59" s="10">
        <v>3</v>
      </c>
      <c r="H59" s="10">
        <v>3</v>
      </c>
      <c r="I59" s="10">
        <v>1</v>
      </c>
      <c r="J59" s="11">
        <f>IF(COUNTBLANK(F59:H59)&gt;0,"",F59*0.45+G59*0.35+H59*0.2)</f>
        <v>2.5499999999999998</v>
      </c>
      <c r="K59" s="11" t="str">
        <f>IF(J59="","",IF(OR(E59="Ja",E59="Yes"),"Tier 0 – Foundation",INDEX('Class-Matrix'!$B$4:$B$7,MATCH(J59,'Class-Matrix'!$A$4:$A$7,1))))</f>
        <v>Tier 3 – Silver</v>
      </c>
      <c r="L59" s="12" t="str">
        <f>IF(K59="","",VLOOKUP(K59,'Class-Matrix'!$B$12:$H$16,2,FALSE()))</f>
        <v>&lt; 4 h</v>
      </c>
      <c r="M59" s="12" t="str">
        <f>IF(K59="","",VLOOKUP(K59,'Class-Matrix'!$B$12:$H$16,3,FALSE()))</f>
        <v>&lt; 24 h</v>
      </c>
      <c r="N59" s="12" t="str">
        <f>IF(K59="","",VLOOKUP(K59,'Class-Matrix'!$B$12:$H$16,4,FALSE()))</f>
        <v>Daily backup, immutability optional, standardized VRO runbook</v>
      </c>
      <c r="O59" s="10"/>
      <c r="P59" s="10"/>
      <c r="Q59" s="10"/>
      <c r="R59" s="10" t="s">
        <v>94</v>
      </c>
    </row>
    <row r="60" spans="1:18" ht="25.5" customHeight="1">
      <c r="A60" s="7">
        <v>59</v>
      </c>
      <c r="B60" s="10" t="s">
        <v>231</v>
      </c>
      <c r="C60" s="10" t="s">
        <v>77</v>
      </c>
      <c r="D60" s="10" t="s">
        <v>232</v>
      </c>
      <c r="E60" s="10" t="s">
        <v>93</v>
      </c>
      <c r="F60" s="10">
        <v>1</v>
      </c>
      <c r="G60" s="10">
        <v>1</v>
      </c>
      <c r="H60" s="10">
        <v>2</v>
      </c>
      <c r="I60" s="10">
        <v>1</v>
      </c>
      <c r="J60" s="11">
        <f>IF(COUNTBLANK(F60:H60)&gt;0,"",F60*0.45+G60*0.35+H60*0.2)</f>
        <v>1.2000000000000002</v>
      </c>
      <c r="K60" s="11" t="str">
        <f>IF(J60="","",IF(OR(E60="Ja",E60="Yes"),"Tier 0 – Foundation",INDEX('Class-Matrix'!$B$4:$B$7,MATCH(J60,'Class-Matrix'!$A$4:$A$7,1))))</f>
        <v>Tier 4 – Bronze</v>
      </c>
      <c r="L60" s="12" t="str">
        <f>IF(K60="","",VLOOKUP(K60,'Class-Matrix'!$B$12:$H$16,2,FALSE()))</f>
        <v>&lt; 24 h</v>
      </c>
      <c r="M60" s="12" t="str">
        <f>IF(K60="","",VLOOKUP(K60,'Class-Matrix'!$B$12:$H$16,3,FALSE()))</f>
        <v>&lt; 72 h / best effort</v>
      </c>
      <c r="N60" s="12" t="str">
        <f>IF(K60="","",VLOOKUP(K60,'Class-Matrix'!$B$12:$H$16,4,FALSE()))</f>
        <v>Standard backup policy (daily/weekly), manual recovery acceptable</v>
      </c>
      <c r="O60" s="10"/>
      <c r="P60" s="10"/>
      <c r="Q60" s="10"/>
      <c r="R60" s="10" t="s">
        <v>94</v>
      </c>
    </row>
    <row r="61" spans="1:18" ht="25.5" customHeight="1">
      <c r="A61" s="7">
        <v>60</v>
      </c>
      <c r="B61" s="10" t="s">
        <v>233</v>
      </c>
      <c r="C61" s="10" t="s">
        <v>107</v>
      </c>
      <c r="D61" s="10" t="s">
        <v>234</v>
      </c>
      <c r="E61" s="10" t="s">
        <v>93</v>
      </c>
      <c r="F61" s="10">
        <v>1</v>
      </c>
      <c r="G61" s="10">
        <v>1</v>
      </c>
      <c r="H61" s="10">
        <v>2</v>
      </c>
      <c r="I61" s="10">
        <v>2</v>
      </c>
      <c r="J61" s="11">
        <f>IF(COUNTBLANK(F61:H61)&gt;0,"",F61*0.45+G61*0.35+H61*0.2)</f>
        <v>1.2000000000000002</v>
      </c>
      <c r="K61" s="11" t="str">
        <f>IF(J61="","",IF(OR(E61="Ja",E61="Yes"),"Tier 0 – Foundation",INDEX('Class-Matrix'!$B$4:$B$7,MATCH(J61,'Class-Matrix'!$A$4:$A$7,1))))</f>
        <v>Tier 4 – Bronze</v>
      </c>
      <c r="L61" s="12" t="str">
        <f>IF(K61="","",VLOOKUP(K61,'Class-Matrix'!$B$12:$H$16,2,FALSE()))</f>
        <v>&lt; 24 h</v>
      </c>
      <c r="M61" s="12" t="str">
        <f>IF(K61="","",VLOOKUP(K61,'Class-Matrix'!$B$12:$H$16,3,FALSE()))</f>
        <v>&lt; 72 h / best effort</v>
      </c>
      <c r="N61" s="12" t="str">
        <f>IF(K61="","",VLOOKUP(K61,'Class-Matrix'!$B$12:$H$16,4,FALSE()))</f>
        <v>Standard backup policy (daily/weekly), manual recovery acceptable</v>
      </c>
      <c r="O61" s="10"/>
      <c r="P61" s="10"/>
      <c r="Q61" s="10"/>
      <c r="R61" s="10" t="s">
        <v>94</v>
      </c>
    </row>
    <row r="62" spans="1:18" ht="25.5" customHeight="1">
      <c r="A62" s="7">
        <v>61</v>
      </c>
      <c r="B62" s="10" t="s">
        <v>235</v>
      </c>
      <c r="C62" s="10" t="s">
        <v>86</v>
      </c>
      <c r="D62" s="10" t="s">
        <v>236</v>
      </c>
      <c r="E62" s="10" t="s">
        <v>93</v>
      </c>
      <c r="F62" s="10">
        <v>1</v>
      </c>
      <c r="G62" s="10">
        <v>1</v>
      </c>
      <c r="H62" s="10">
        <v>1</v>
      </c>
      <c r="I62" s="10">
        <v>1</v>
      </c>
      <c r="J62" s="11">
        <f>IF(COUNTBLANK(F62:H62)&gt;0,"",F62*0.45+G62*0.35+H62*0.2)</f>
        <v>1</v>
      </c>
      <c r="K62" s="11" t="str">
        <f>IF(J62="","",IF(OR(E62="Ja",E62="Yes"),"Tier 0 – Foundation",INDEX('Class-Matrix'!$B$4:$B$7,MATCH(J62,'Class-Matrix'!$A$4:$A$7,1))))</f>
        <v>Tier 4 – Bronze</v>
      </c>
      <c r="L62" s="12" t="str">
        <f>IF(K62="","",VLOOKUP(K62,'Class-Matrix'!$B$12:$H$16,2,FALSE()))</f>
        <v>&lt; 24 h</v>
      </c>
      <c r="M62" s="12" t="str">
        <f>IF(K62="","",VLOOKUP(K62,'Class-Matrix'!$B$12:$H$16,3,FALSE()))</f>
        <v>&lt; 72 h / best effort</v>
      </c>
      <c r="N62" s="12" t="str">
        <f>IF(K62="","",VLOOKUP(K62,'Class-Matrix'!$B$12:$H$16,4,FALSE()))</f>
        <v>Standard backup policy (daily/weekly), manual recovery acceptable</v>
      </c>
      <c r="O62" s="10"/>
      <c r="P62" s="10"/>
      <c r="Q62" s="10"/>
      <c r="R62" s="10" t="s">
        <v>94</v>
      </c>
    </row>
    <row r="63" spans="1:18" ht="25.5" customHeight="1">
      <c r="A63" s="7">
        <v>62</v>
      </c>
      <c r="B63" s="10" t="s">
        <v>237</v>
      </c>
      <c r="C63" s="10" t="s">
        <v>73</v>
      </c>
      <c r="D63" s="10" t="s">
        <v>238</v>
      </c>
      <c r="E63" s="10" t="s">
        <v>93</v>
      </c>
      <c r="F63" s="10">
        <v>1</v>
      </c>
      <c r="G63" s="10">
        <v>1</v>
      </c>
      <c r="H63" s="10">
        <v>1</v>
      </c>
      <c r="I63" s="10">
        <v>1</v>
      </c>
      <c r="J63" s="11">
        <f>IF(COUNTBLANK(F63:H63)&gt;0,"",F63*0.45+G63*0.35+H63*0.2)</f>
        <v>1</v>
      </c>
      <c r="K63" s="11" t="str">
        <f>IF(J63="","",IF(OR(E63="Ja",E63="Yes"),"Tier 0 – Foundation",INDEX('Class-Matrix'!$B$4:$B$7,MATCH(J63,'Class-Matrix'!$A$4:$A$7,1))))</f>
        <v>Tier 4 – Bronze</v>
      </c>
      <c r="L63" s="12" t="str">
        <f>IF(K63="","",VLOOKUP(K63,'Class-Matrix'!$B$12:$H$16,2,FALSE()))</f>
        <v>&lt; 24 h</v>
      </c>
      <c r="M63" s="12" t="str">
        <f>IF(K63="","",VLOOKUP(K63,'Class-Matrix'!$B$12:$H$16,3,FALSE()))</f>
        <v>&lt; 72 h / best effort</v>
      </c>
      <c r="N63" s="12" t="str">
        <f>IF(K63="","",VLOOKUP(K63,'Class-Matrix'!$B$12:$H$16,4,FALSE()))</f>
        <v>Standard backup policy (daily/weekly), manual recovery acceptable</v>
      </c>
      <c r="O63" s="10"/>
      <c r="P63" s="10"/>
      <c r="Q63" s="10"/>
      <c r="R63" s="10" t="s">
        <v>94</v>
      </c>
    </row>
    <row r="64" spans="1:18" ht="25.5" customHeight="1">
      <c r="A64" s="7">
        <v>63</v>
      </c>
      <c r="B64" s="10" t="s">
        <v>239</v>
      </c>
      <c r="C64" s="10" t="s">
        <v>112</v>
      </c>
      <c r="D64" s="10" t="s">
        <v>240</v>
      </c>
      <c r="E64" s="10" t="s">
        <v>93</v>
      </c>
      <c r="F64" s="10">
        <v>4</v>
      </c>
      <c r="G64" s="10">
        <v>4</v>
      </c>
      <c r="H64" s="10">
        <v>3</v>
      </c>
      <c r="I64" s="10">
        <v>2</v>
      </c>
      <c r="J64" s="11">
        <f>IF(COUNTBLANK(F64:H64)&gt;0,"",F64*0.45+G64*0.35+H64*0.2)</f>
        <v>3.8000000000000003</v>
      </c>
      <c r="K64" s="11" t="str">
        <f>IF(J64="","",IF(OR(E64="Ja",E64="Yes"),"Tier 0 – Foundation",INDEX('Class-Matrix'!$B$4:$B$7,MATCH(J64,'Class-Matrix'!$A$4:$A$7,1))))</f>
        <v>Tier 2 – Gold</v>
      </c>
      <c r="L64" s="12" t="str">
        <f>IF(K64="","",VLOOKUP(K64,'Class-Matrix'!$B$12:$H$16,2,FALSE()))</f>
        <v>&lt; 1 h</v>
      </c>
      <c r="M64" s="12" t="str">
        <f>IF(K64="","",VLOOKUP(K64,'Class-Matrix'!$B$12:$H$16,3,FALSE()))</f>
        <v>&lt; 4 h</v>
      </c>
      <c r="N64" s="12" t="str">
        <f>IF(K64="","",VLOOKUP(K64,'Class-Matrix'!$B$12:$H$16,4,FALSE()))</f>
        <v>Multiple daily backups + optional replication, semi-automated VRO runbook</v>
      </c>
      <c r="O64" s="10"/>
      <c r="P64" s="10"/>
      <c r="Q64" s="10"/>
      <c r="R64" s="10" t="s">
        <v>94</v>
      </c>
    </row>
    <row r="65" spans="1:18" ht="25.5" customHeight="1">
      <c r="A65" s="7">
        <v>64</v>
      </c>
      <c r="B65" s="10" t="s">
        <v>241</v>
      </c>
      <c r="C65" s="10" t="s">
        <v>183</v>
      </c>
      <c r="D65" s="10" t="s">
        <v>242</v>
      </c>
      <c r="E65" s="10" t="s">
        <v>93</v>
      </c>
      <c r="F65" s="10">
        <v>4</v>
      </c>
      <c r="G65" s="10">
        <v>3</v>
      </c>
      <c r="H65" s="10">
        <v>4</v>
      </c>
      <c r="I65" s="10">
        <v>1</v>
      </c>
      <c r="J65" s="11">
        <f>IF(COUNTBLANK(F65:H65)&gt;0,"",F65*0.45+G65*0.35+H65*0.2)</f>
        <v>3.6499999999999995</v>
      </c>
      <c r="K65" s="11" t="str">
        <f>IF(J65="","",IF(OR(E65="Ja",E65="Yes"),"Tier 0 – Foundation",INDEX('Class-Matrix'!$B$4:$B$7,MATCH(J65,'Class-Matrix'!$A$4:$A$7,1))))</f>
        <v>Tier 2 – Gold</v>
      </c>
      <c r="L65" s="12" t="str">
        <f>IF(K65="","",VLOOKUP(K65,'Class-Matrix'!$B$12:$H$16,2,FALSE()))</f>
        <v>&lt; 1 h</v>
      </c>
      <c r="M65" s="12" t="str">
        <f>IF(K65="","",VLOOKUP(K65,'Class-Matrix'!$B$12:$H$16,3,FALSE()))</f>
        <v>&lt; 4 h</v>
      </c>
      <c r="N65" s="12" t="str">
        <f>IF(K65="","",VLOOKUP(K65,'Class-Matrix'!$B$12:$H$16,4,FALSE()))</f>
        <v>Multiple daily backups + optional replication, semi-automated VRO runbook</v>
      </c>
      <c r="O65" s="10"/>
      <c r="P65" s="10"/>
      <c r="Q65" s="10"/>
      <c r="R65" s="10" t="s">
        <v>94</v>
      </c>
    </row>
    <row r="66" spans="1:18" ht="25.5" customHeight="1">
      <c r="A66" s="7">
        <v>65</v>
      </c>
      <c r="B66" s="10" t="s">
        <v>243</v>
      </c>
      <c r="C66" s="10" t="s">
        <v>112</v>
      </c>
      <c r="D66" s="10" t="s">
        <v>244</v>
      </c>
      <c r="E66" s="10" t="s">
        <v>93</v>
      </c>
      <c r="F66" s="10">
        <v>4</v>
      </c>
      <c r="G66" s="10">
        <v>3</v>
      </c>
      <c r="H66" s="10">
        <v>4</v>
      </c>
      <c r="I66" s="10">
        <v>2</v>
      </c>
      <c r="J66" s="11">
        <f>IF(COUNTBLANK(F66:H66)&gt;0,"",F66*0.45+G66*0.35+H66*0.2)</f>
        <v>3.6499999999999995</v>
      </c>
      <c r="K66" s="11" t="str">
        <f>IF(J66="","",IF(OR(E66="Ja",E66="Yes"),"Tier 0 – Foundation",INDEX('Class-Matrix'!$B$4:$B$7,MATCH(J66,'Class-Matrix'!$A$4:$A$7,1))))</f>
        <v>Tier 2 – Gold</v>
      </c>
      <c r="L66" s="12" t="str">
        <f>IF(K66="","",VLOOKUP(K66,'Class-Matrix'!$B$12:$H$16,2,FALSE()))</f>
        <v>&lt; 1 h</v>
      </c>
      <c r="M66" s="12" t="str">
        <f>IF(K66="","",VLOOKUP(K66,'Class-Matrix'!$B$12:$H$16,3,FALSE()))</f>
        <v>&lt; 4 h</v>
      </c>
      <c r="N66" s="12" t="str">
        <f>IF(K66="","",VLOOKUP(K66,'Class-Matrix'!$B$12:$H$16,4,FALSE()))</f>
        <v>Multiple daily backups + optional replication, semi-automated VRO runbook</v>
      </c>
      <c r="O66" s="10"/>
      <c r="P66" s="10"/>
      <c r="Q66" s="10"/>
      <c r="R66" s="10" t="s">
        <v>94</v>
      </c>
    </row>
    <row r="67" spans="1:18" ht="25.5" customHeight="1">
      <c r="A67" s="7">
        <v>66</v>
      </c>
      <c r="B67" s="10" t="s">
        <v>245</v>
      </c>
      <c r="C67" s="10" t="s">
        <v>89</v>
      </c>
      <c r="D67" s="10" t="s">
        <v>246</v>
      </c>
      <c r="E67" s="10" t="s">
        <v>93</v>
      </c>
      <c r="F67" s="10">
        <v>4</v>
      </c>
      <c r="G67" s="10">
        <v>3</v>
      </c>
      <c r="H67" s="10">
        <v>2</v>
      </c>
      <c r="I67" s="10">
        <v>3</v>
      </c>
      <c r="J67" s="11">
        <f>IF(COUNTBLANK(F67:H67)&gt;0,"",F67*0.45+G67*0.35+H67*0.2)</f>
        <v>3.2499999999999996</v>
      </c>
      <c r="K67" s="11" t="str">
        <f>IF(J67="","",IF(OR(E67="Ja",E67="Yes"),"Tier 0 – Foundation",INDEX('Class-Matrix'!$B$4:$B$7,MATCH(J67,'Class-Matrix'!$A$4:$A$7,1))))</f>
        <v>Tier 3 – Silver</v>
      </c>
      <c r="L67" s="12" t="str">
        <f>IF(K67="","",VLOOKUP(K67,'Class-Matrix'!$B$12:$H$16,2,FALSE()))</f>
        <v>&lt; 4 h</v>
      </c>
      <c r="M67" s="12" t="str">
        <f>IF(K67="","",VLOOKUP(K67,'Class-Matrix'!$B$12:$H$16,3,FALSE()))</f>
        <v>&lt; 24 h</v>
      </c>
      <c r="N67" s="12" t="str">
        <f>IF(K67="","",VLOOKUP(K67,'Class-Matrix'!$B$12:$H$16,4,FALSE()))</f>
        <v>Daily backup, immutability optional, standardized VRO runbook</v>
      </c>
      <c r="O67" s="10"/>
      <c r="P67" s="10"/>
      <c r="Q67" s="10"/>
      <c r="R67" s="10" t="s">
        <v>94</v>
      </c>
    </row>
    <row r="68" spans="1:18" ht="25.5" customHeight="1">
      <c r="A68" s="7">
        <v>67</v>
      </c>
      <c r="B68" s="10" t="s">
        <v>247</v>
      </c>
      <c r="C68" s="10" t="s">
        <v>83</v>
      </c>
      <c r="D68" s="10" t="s">
        <v>248</v>
      </c>
      <c r="E68" s="10" t="s">
        <v>93</v>
      </c>
      <c r="F68" s="10">
        <v>1</v>
      </c>
      <c r="G68" s="10">
        <v>3</v>
      </c>
      <c r="H68" s="10">
        <v>2</v>
      </c>
      <c r="I68" s="10">
        <v>2</v>
      </c>
      <c r="J68" s="11">
        <f>IF(COUNTBLANK(F68:H68)&gt;0,"",F68*0.45+G68*0.35+H68*0.2)</f>
        <v>1.9</v>
      </c>
      <c r="K68" s="11" t="str">
        <f>IF(J68="","",IF(OR(E68="Ja",E68="Yes"),"Tier 0 – Foundation",INDEX('Class-Matrix'!$B$4:$B$7,MATCH(J68,'Class-Matrix'!$A$4:$A$7,1))))</f>
        <v>Tier 4 – Bronze</v>
      </c>
      <c r="L68" s="12" t="str">
        <f>IF(K68="","",VLOOKUP(K68,'Class-Matrix'!$B$12:$H$16,2,FALSE()))</f>
        <v>&lt; 24 h</v>
      </c>
      <c r="M68" s="12" t="str">
        <f>IF(K68="","",VLOOKUP(K68,'Class-Matrix'!$B$12:$H$16,3,FALSE()))</f>
        <v>&lt; 72 h / best effort</v>
      </c>
      <c r="N68" s="12" t="str">
        <f>IF(K68="","",VLOOKUP(K68,'Class-Matrix'!$B$12:$H$16,4,FALSE()))</f>
        <v>Standard backup policy (daily/weekly), manual recovery acceptable</v>
      </c>
      <c r="O68" s="10"/>
      <c r="P68" s="10"/>
      <c r="Q68" s="10"/>
      <c r="R68" s="10" t="s">
        <v>94</v>
      </c>
    </row>
    <row r="69" spans="1:18" ht="25.5" customHeight="1">
      <c r="A69" s="7">
        <v>68</v>
      </c>
      <c r="B69" s="10" t="s">
        <v>249</v>
      </c>
      <c r="C69" s="10" t="s">
        <v>77</v>
      </c>
      <c r="D69" s="10" t="s">
        <v>250</v>
      </c>
      <c r="E69" s="10" t="s">
        <v>93</v>
      </c>
      <c r="F69" s="10">
        <v>3</v>
      </c>
      <c r="G69" s="10">
        <v>2</v>
      </c>
      <c r="H69" s="10">
        <v>2</v>
      </c>
      <c r="I69" s="10">
        <v>2</v>
      </c>
      <c r="J69" s="11">
        <f>IF(COUNTBLANK(F69:H69)&gt;0,"",F69*0.45+G69*0.35+H69*0.2)</f>
        <v>2.4499999999999997</v>
      </c>
      <c r="K69" s="11" t="str">
        <f>IF(J69="","",IF(OR(E69="Ja",E69="Yes"),"Tier 0 – Foundation",INDEX('Class-Matrix'!$B$4:$B$7,MATCH(J69,'Class-Matrix'!$A$4:$A$7,1))))</f>
        <v>Tier 4 – Bronze</v>
      </c>
      <c r="L69" s="12" t="str">
        <f>IF(K69="","",VLOOKUP(K69,'Class-Matrix'!$B$12:$H$16,2,FALSE()))</f>
        <v>&lt; 24 h</v>
      </c>
      <c r="M69" s="12" t="str">
        <f>IF(K69="","",VLOOKUP(K69,'Class-Matrix'!$B$12:$H$16,3,FALSE()))</f>
        <v>&lt; 72 h / best effort</v>
      </c>
      <c r="N69" s="12" t="str">
        <f>IF(K69="","",VLOOKUP(K69,'Class-Matrix'!$B$12:$H$16,4,FALSE()))</f>
        <v>Standard backup policy (daily/weekly), manual recovery acceptable</v>
      </c>
      <c r="O69" s="10"/>
      <c r="P69" s="10"/>
      <c r="Q69" s="10"/>
      <c r="R69" s="10" t="s">
        <v>94</v>
      </c>
    </row>
    <row r="70" spans="1:18" ht="25.5" customHeight="1">
      <c r="A70" s="7">
        <v>69</v>
      </c>
      <c r="B70" s="10" t="s">
        <v>251</v>
      </c>
      <c r="C70" s="10" t="s">
        <v>80</v>
      </c>
      <c r="D70" s="10" t="s">
        <v>252</v>
      </c>
      <c r="E70" s="10" t="s">
        <v>93</v>
      </c>
      <c r="F70" s="10">
        <v>2</v>
      </c>
      <c r="G70" s="10">
        <v>1</v>
      </c>
      <c r="H70" s="10">
        <v>2</v>
      </c>
      <c r="I70" s="10">
        <v>3</v>
      </c>
      <c r="J70" s="11">
        <f>IF(COUNTBLANK(F70:H70)&gt;0,"",F70*0.45+G70*0.35+H70*0.2)</f>
        <v>1.65</v>
      </c>
      <c r="K70" s="11" t="str">
        <f>IF(J70="","",IF(OR(E70="Ja",E70="Yes"),"Tier 0 – Foundation",INDEX('Class-Matrix'!$B$4:$B$7,MATCH(J70,'Class-Matrix'!$A$4:$A$7,1))))</f>
        <v>Tier 4 – Bronze</v>
      </c>
      <c r="L70" s="12" t="str">
        <f>IF(K70="","",VLOOKUP(K70,'Class-Matrix'!$B$12:$H$16,2,FALSE()))</f>
        <v>&lt; 24 h</v>
      </c>
      <c r="M70" s="12" t="str">
        <f>IF(K70="","",VLOOKUP(K70,'Class-Matrix'!$B$12:$H$16,3,FALSE()))</f>
        <v>&lt; 72 h / best effort</v>
      </c>
      <c r="N70" s="12" t="str">
        <f>IF(K70="","",VLOOKUP(K70,'Class-Matrix'!$B$12:$H$16,4,FALSE()))</f>
        <v>Standard backup policy (daily/weekly), manual recovery acceptable</v>
      </c>
      <c r="O70" s="10"/>
      <c r="P70" s="10"/>
      <c r="Q70" s="10"/>
      <c r="R70" s="10" t="s">
        <v>253</v>
      </c>
    </row>
    <row r="71" spans="1:18" ht="25.5" customHeight="1">
      <c r="A71" s="7">
        <v>70</v>
      </c>
      <c r="B71" s="10" t="s">
        <v>254</v>
      </c>
      <c r="C71" s="10" t="s">
        <v>73</v>
      </c>
      <c r="D71" s="10" t="s">
        <v>255</v>
      </c>
      <c r="E71" s="10" t="s">
        <v>93</v>
      </c>
      <c r="F71" s="10">
        <v>2</v>
      </c>
      <c r="G71" s="10">
        <v>2</v>
      </c>
      <c r="H71" s="10">
        <v>1</v>
      </c>
      <c r="I71" s="10">
        <v>2</v>
      </c>
      <c r="J71" s="11">
        <f>IF(COUNTBLANK(F71:H71)&gt;0,"",F71*0.45+G71*0.35+H71*0.2)</f>
        <v>1.8</v>
      </c>
      <c r="K71" s="11" t="str">
        <f>IF(J71="","",IF(OR(E71="Ja",E71="Yes"),"Tier 0 – Foundation",INDEX('Class-Matrix'!$B$4:$B$7,MATCH(J71,'Class-Matrix'!$A$4:$A$7,1))))</f>
        <v>Tier 4 – Bronze</v>
      </c>
      <c r="L71" s="12" t="str">
        <f>IF(K71="","",VLOOKUP(K71,'Class-Matrix'!$B$12:$H$16,2,FALSE()))</f>
        <v>&lt; 24 h</v>
      </c>
      <c r="M71" s="12" t="str">
        <f>IF(K71="","",VLOOKUP(K71,'Class-Matrix'!$B$12:$H$16,3,FALSE()))</f>
        <v>&lt; 72 h / best effort</v>
      </c>
      <c r="N71" s="12" t="str">
        <f>IF(K71="","",VLOOKUP(K71,'Class-Matrix'!$B$12:$H$16,4,FALSE()))</f>
        <v>Standard backup policy (daily/weekly), manual recovery acceptable</v>
      </c>
      <c r="O71" s="10"/>
      <c r="P71" s="10"/>
      <c r="Q71" s="10"/>
      <c r="R71" s="10" t="s">
        <v>94</v>
      </c>
    </row>
    <row r="72" spans="1:18" ht="25.5" customHeight="1">
      <c r="A72" s="7">
        <v>71</v>
      </c>
      <c r="B72" s="10" t="s">
        <v>256</v>
      </c>
      <c r="C72" s="10" t="s">
        <v>89</v>
      </c>
      <c r="D72" s="10" t="s">
        <v>257</v>
      </c>
      <c r="E72" s="10" t="s">
        <v>93</v>
      </c>
      <c r="F72" s="10">
        <v>2</v>
      </c>
      <c r="G72" s="10">
        <v>3</v>
      </c>
      <c r="H72" s="10">
        <v>2</v>
      </c>
      <c r="I72" s="10">
        <v>1</v>
      </c>
      <c r="J72" s="11">
        <f>IF(COUNTBLANK(F72:H72)&gt;0,"",F72*0.45+G72*0.35+H72*0.2)</f>
        <v>2.3499999999999996</v>
      </c>
      <c r="K72" s="11" t="str">
        <f>IF(J72="","",IF(OR(E72="Ja",E72="Yes"),"Tier 0 – Foundation",INDEX('Class-Matrix'!$B$4:$B$7,MATCH(J72,'Class-Matrix'!$A$4:$A$7,1))))</f>
        <v>Tier 4 – Bronze</v>
      </c>
      <c r="L72" s="12" t="str">
        <f>IF(K72="","",VLOOKUP(K72,'Class-Matrix'!$B$12:$H$16,2,FALSE()))</f>
        <v>&lt; 24 h</v>
      </c>
      <c r="M72" s="12" t="str">
        <f>IF(K72="","",VLOOKUP(K72,'Class-Matrix'!$B$12:$H$16,3,FALSE()))</f>
        <v>&lt; 72 h / best effort</v>
      </c>
      <c r="N72" s="12" t="str">
        <f>IF(K72="","",VLOOKUP(K72,'Class-Matrix'!$B$12:$H$16,4,FALSE()))</f>
        <v>Standard backup policy (daily/weekly), manual recovery acceptable</v>
      </c>
      <c r="O72" s="10"/>
      <c r="P72" s="10"/>
      <c r="Q72" s="10"/>
      <c r="R72" s="10" t="s">
        <v>94</v>
      </c>
    </row>
    <row r="73" spans="1:18" ht="25.5" customHeight="1">
      <c r="A73" s="7">
        <v>72</v>
      </c>
      <c r="B73" s="10" t="s">
        <v>258</v>
      </c>
      <c r="C73" s="10" t="s">
        <v>86</v>
      </c>
      <c r="D73" s="10" t="s">
        <v>259</v>
      </c>
      <c r="E73" s="10" t="s">
        <v>93</v>
      </c>
      <c r="F73" s="10">
        <v>1</v>
      </c>
      <c r="G73" s="10">
        <v>2</v>
      </c>
      <c r="H73" s="10">
        <v>2</v>
      </c>
      <c r="I73" s="10">
        <v>2</v>
      </c>
      <c r="J73" s="11">
        <f>IF(COUNTBLANK(F73:H73)&gt;0,"",F73*0.45+G73*0.35+H73*0.2)</f>
        <v>1.5499999999999998</v>
      </c>
      <c r="K73" s="11" t="str">
        <f>IF(J73="","",IF(OR(E73="Ja",E73="Yes"),"Tier 0 – Foundation",INDEX('Class-Matrix'!$B$4:$B$7,MATCH(J73,'Class-Matrix'!$A$4:$A$7,1))))</f>
        <v>Tier 4 – Bronze</v>
      </c>
      <c r="L73" s="12" t="str">
        <f>IF(K73="","",VLOOKUP(K73,'Class-Matrix'!$B$12:$H$16,2,FALSE()))</f>
        <v>&lt; 24 h</v>
      </c>
      <c r="M73" s="12" t="str">
        <f>IF(K73="","",VLOOKUP(K73,'Class-Matrix'!$B$12:$H$16,3,FALSE()))</f>
        <v>&lt; 72 h / best effort</v>
      </c>
      <c r="N73" s="12" t="str">
        <f>IF(K73="","",VLOOKUP(K73,'Class-Matrix'!$B$12:$H$16,4,FALSE()))</f>
        <v>Standard backup policy (daily/weekly), manual recovery acceptable</v>
      </c>
      <c r="O73" s="10"/>
      <c r="P73" s="10"/>
      <c r="Q73" s="10"/>
      <c r="R73" s="10" t="s">
        <v>94</v>
      </c>
    </row>
    <row r="74" spans="1:18" ht="25.5" customHeight="1">
      <c r="A74" s="7">
        <v>73</v>
      </c>
      <c r="B74" s="10" t="s">
        <v>260</v>
      </c>
      <c r="C74" s="10" t="s">
        <v>77</v>
      </c>
      <c r="D74" s="10" t="s">
        <v>261</v>
      </c>
      <c r="E74" s="10" t="s">
        <v>93</v>
      </c>
      <c r="F74" s="10">
        <v>2</v>
      </c>
      <c r="G74" s="10">
        <v>2</v>
      </c>
      <c r="H74" s="10">
        <v>3</v>
      </c>
      <c r="I74" s="10">
        <v>2</v>
      </c>
      <c r="J74" s="11">
        <f>IF(COUNTBLANK(F74:H74)&gt;0,"",F74*0.45+G74*0.35+H74*0.2)</f>
        <v>2.2000000000000002</v>
      </c>
      <c r="K74" s="11" t="str">
        <f>IF(J74="","",IF(OR(E74="Ja",E74="Yes"),"Tier 0 – Foundation",INDEX('Class-Matrix'!$B$4:$B$7,MATCH(J74,'Class-Matrix'!$A$4:$A$7,1))))</f>
        <v>Tier 4 – Bronze</v>
      </c>
      <c r="L74" s="12" t="str">
        <f>IF(K74="","",VLOOKUP(K74,'Class-Matrix'!$B$12:$H$16,2,FALSE()))</f>
        <v>&lt; 24 h</v>
      </c>
      <c r="M74" s="12" t="str">
        <f>IF(K74="","",VLOOKUP(K74,'Class-Matrix'!$B$12:$H$16,3,FALSE()))</f>
        <v>&lt; 72 h / best effort</v>
      </c>
      <c r="N74" s="12" t="str">
        <f>IF(K74="","",VLOOKUP(K74,'Class-Matrix'!$B$12:$H$16,4,FALSE()))</f>
        <v>Standard backup policy (daily/weekly), manual recovery acceptable</v>
      </c>
      <c r="O74" s="10"/>
      <c r="P74" s="10"/>
      <c r="Q74" s="10"/>
      <c r="R74" s="10" t="s">
        <v>262</v>
      </c>
    </row>
    <row r="75" spans="1:18" ht="25.5" customHeight="1">
      <c r="A75" s="7">
        <v>74</v>
      </c>
      <c r="B75" s="10" t="s">
        <v>263</v>
      </c>
      <c r="C75" s="10" t="s">
        <v>89</v>
      </c>
      <c r="D75" s="10" t="s">
        <v>264</v>
      </c>
      <c r="E75" s="10" t="s">
        <v>93</v>
      </c>
      <c r="F75" s="10">
        <v>3</v>
      </c>
      <c r="G75" s="10">
        <v>4</v>
      </c>
      <c r="H75" s="10">
        <v>1</v>
      </c>
      <c r="I75" s="10">
        <v>3</v>
      </c>
      <c r="J75" s="11">
        <f>IF(COUNTBLANK(F75:H75)&gt;0,"",F75*0.45+G75*0.35+H75*0.2)</f>
        <v>2.95</v>
      </c>
      <c r="K75" s="11" t="str">
        <f>IF(J75="","",IF(OR(E75="Ja",E75="Yes"),"Tier 0 – Foundation",INDEX('Class-Matrix'!$B$4:$B$7,MATCH(J75,'Class-Matrix'!$A$4:$A$7,1))))</f>
        <v>Tier 3 – Silver</v>
      </c>
      <c r="L75" s="12" t="str">
        <f>IF(K75="","",VLOOKUP(K75,'Class-Matrix'!$B$12:$H$16,2,FALSE()))</f>
        <v>&lt; 4 h</v>
      </c>
      <c r="M75" s="12" t="str">
        <f>IF(K75="","",VLOOKUP(K75,'Class-Matrix'!$B$12:$H$16,3,FALSE()))</f>
        <v>&lt; 24 h</v>
      </c>
      <c r="N75" s="12" t="str">
        <f>IF(K75="","",VLOOKUP(K75,'Class-Matrix'!$B$12:$H$16,4,FALSE()))</f>
        <v>Daily backup, immutability optional, standardized VRO runbook</v>
      </c>
      <c r="O75" s="10"/>
      <c r="P75" s="10"/>
      <c r="Q75" s="10"/>
      <c r="R75" s="10" t="s">
        <v>94</v>
      </c>
    </row>
    <row r="76" spans="1:18" ht="25.5" customHeight="1">
      <c r="A76" s="7">
        <v>75</v>
      </c>
      <c r="B76" s="10" t="s">
        <v>265</v>
      </c>
      <c r="C76" s="10" t="s">
        <v>77</v>
      </c>
      <c r="D76" s="10" t="s">
        <v>266</v>
      </c>
      <c r="E76" s="10" t="s">
        <v>93</v>
      </c>
      <c r="F76" s="10">
        <v>3</v>
      </c>
      <c r="G76" s="10">
        <v>3</v>
      </c>
      <c r="H76" s="10">
        <v>1</v>
      </c>
      <c r="I76" s="10">
        <v>3</v>
      </c>
      <c r="J76" s="11">
        <f>IF(COUNTBLANK(F76:H76)&gt;0,"",F76*0.45+G76*0.35+H76*0.2)</f>
        <v>2.6</v>
      </c>
      <c r="K76" s="11" t="str">
        <f>IF(J76="","",IF(OR(E76="Ja",E76="Yes"),"Tier 0 – Foundation",INDEX('Class-Matrix'!$B$4:$B$7,MATCH(J76,'Class-Matrix'!$A$4:$A$7,1))))</f>
        <v>Tier 3 – Silver</v>
      </c>
      <c r="L76" s="12" t="str">
        <f>IF(K76="","",VLOOKUP(K76,'Class-Matrix'!$B$12:$H$16,2,FALSE()))</f>
        <v>&lt; 4 h</v>
      </c>
      <c r="M76" s="12" t="str">
        <f>IF(K76="","",VLOOKUP(K76,'Class-Matrix'!$B$12:$H$16,3,FALSE()))</f>
        <v>&lt; 24 h</v>
      </c>
      <c r="N76" s="12" t="str">
        <f>IF(K76="","",VLOOKUP(K76,'Class-Matrix'!$B$12:$H$16,4,FALSE()))</f>
        <v>Daily backup, immutability optional, standardized VRO runbook</v>
      </c>
      <c r="O76" s="10"/>
      <c r="P76" s="10"/>
      <c r="Q76" s="10"/>
      <c r="R76" s="10" t="s">
        <v>94</v>
      </c>
    </row>
    <row r="77" spans="1:18" ht="25.5" customHeight="1">
      <c r="A77" s="7">
        <v>76</v>
      </c>
      <c r="B77" s="10" t="s">
        <v>267</v>
      </c>
      <c r="C77" s="10" t="s">
        <v>115</v>
      </c>
      <c r="D77" s="10" t="s">
        <v>268</v>
      </c>
      <c r="E77" s="10" t="s">
        <v>93</v>
      </c>
      <c r="F77" s="10">
        <v>2</v>
      </c>
      <c r="G77" s="10">
        <v>3</v>
      </c>
      <c r="H77" s="10">
        <v>2</v>
      </c>
      <c r="I77" s="10">
        <v>3</v>
      </c>
      <c r="J77" s="11">
        <f>IF(COUNTBLANK(F77:H77)&gt;0,"",F77*0.45+G77*0.35+H77*0.2)</f>
        <v>2.3499999999999996</v>
      </c>
      <c r="K77" s="11" t="str">
        <f>IF(J77="","",IF(OR(E77="Ja",E77="Yes"),"Tier 0 – Foundation",INDEX('Class-Matrix'!$B$4:$B$7,MATCH(J77,'Class-Matrix'!$A$4:$A$7,1))))</f>
        <v>Tier 4 – Bronze</v>
      </c>
      <c r="L77" s="12" t="str">
        <f>IF(K77="","",VLOOKUP(K77,'Class-Matrix'!$B$12:$H$16,2,FALSE()))</f>
        <v>&lt; 24 h</v>
      </c>
      <c r="M77" s="12" t="str">
        <f>IF(K77="","",VLOOKUP(K77,'Class-Matrix'!$B$12:$H$16,3,FALSE()))</f>
        <v>&lt; 72 h / best effort</v>
      </c>
      <c r="N77" s="12" t="str">
        <f>IF(K77="","",VLOOKUP(K77,'Class-Matrix'!$B$12:$H$16,4,FALSE()))</f>
        <v>Standard backup policy (daily/weekly), manual recovery acceptable</v>
      </c>
      <c r="O77" s="10"/>
      <c r="P77" s="10"/>
      <c r="Q77" s="10"/>
      <c r="R77" s="10" t="s">
        <v>94</v>
      </c>
    </row>
    <row r="78" spans="1:18" ht="25.5" customHeight="1">
      <c r="A78" s="7">
        <v>77</v>
      </c>
      <c r="B78" s="10" t="s">
        <v>269</v>
      </c>
      <c r="C78" s="10" t="s">
        <v>86</v>
      </c>
      <c r="D78" s="10" t="s">
        <v>270</v>
      </c>
      <c r="E78" s="10" t="s">
        <v>93</v>
      </c>
      <c r="F78" s="10">
        <v>2</v>
      </c>
      <c r="G78" s="10">
        <v>3</v>
      </c>
      <c r="H78" s="10">
        <v>2</v>
      </c>
      <c r="I78" s="10">
        <v>1</v>
      </c>
      <c r="J78" s="11">
        <f>IF(COUNTBLANK(F78:H78)&gt;0,"",F78*0.45+G78*0.35+H78*0.2)</f>
        <v>2.3499999999999996</v>
      </c>
      <c r="K78" s="11" t="str">
        <f>IF(J78="","",IF(OR(E78="Ja",E78="Yes"),"Tier 0 – Foundation",INDEX('Class-Matrix'!$B$4:$B$7,MATCH(J78,'Class-Matrix'!$A$4:$A$7,1))))</f>
        <v>Tier 4 – Bronze</v>
      </c>
      <c r="L78" s="12" t="str">
        <f>IF(K78="","",VLOOKUP(K78,'Class-Matrix'!$B$12:$H$16,2,FALSE()))</f>
        <v>&lt; 24 h</v>
      </c>
      <c r="M78" s="12" t="str">
        <f>IF(K78="","",VLOOKUP(K78,'Class-Matrix'!$B$12:$H$16,3,FALSE()))</f>
        <v>&lt; 72 h / best effort</v>
      </c>
      <c r="N78" s="12" t="str">
        <f>IF(K78="","",VLOOKUP(K78,'Class-Matrix'!$B$12:$H$16,4,FALSE()))</f>
        <v>Standard backup policy (daily/weekly), manual recovery acceptable</v>
      </c>
      <c r="O78" s="10"/>
      <c r="P78" s="10"/>
      <c r="Q78" s="10"/>
      <c r="R78" s="10" t="s">
        <v>94</v>
      </c>
    </row>
    <row r="79" spans="1:18" ht="25.5" customHeight="1">
      <c r="A79" s="7">
        <v>78</v>
      </c>
      <c r="B79" s="10" t="s">
        <v>271</v>
      </c>
      <c r="C79" s="10" t="s">
        <v>159</v>
      </c>
      <c r="D79" s="10" t="s">
        <v>272</v>
      </c>
      <c r="E79" s="10" t="s">
        <v>93</v>
      </c>
      <c r="F79" s="10">
        <v>3</v>
      </c>
      <c r="G79" s="10">
        <v>3</v>
      </c>
      <c r="H79" s="10">
        <v>3</v>
      </c>
      <c r="I79" s="10">
        <v>2</v>
      </c>
      <c r="J79" s="11">
        <f>IF(COUNTBLANK(F79:H79)&gt;0,"",F79*0.45+G79*0.35+H79*0.2)</f>
        <v>3</v>
      </c>
      <c r="K79" s="11" t="str">
        <f>IF(J79="","",IF(OR(E79="Ja",E79="Yes"),"Tier 0 – Foundation",INDEX('Class-Matrix'!$B$4:$B$7,MATCH(J79,'Class-Matrix'!$A$4:$A$7,1))))</f>
        <v>Tier 3 – Silver</v>
      </c>
      <c r="L79" s="12" t="str">
        <f>IF(K79="","",VLOOKUP(K79,'Class-Matrix'!$B$12:$H$16,2,FALSE()))</f>
        <v>&lt; 4 h</v>
      </c>
      <c r="M79" s="12" t="str">
        <f>IF(K79="","",VLOOKUP(K79,'Class-Matrix'!$B$12:$H$16,3,FALSE()))</f>
        <v>&lt; 24 h</v>
      </c>
      <c r="N79" s="12" t="str">
        <f>IF(K79="","",VLOOKUP(K79,'Class-Matrix'!$B$12:$H$16,4,FALSE()))</f>
        <v>Daily backup, immutability optional, standardized VRO runbook</v>
      </c>
      <c r="O79" s="10"/>
      <c r="P79" s="10"/>
      <c r="Q79" s="10"/>
      <c r="R79" s="10" t="s">
        <v>94</v>
      </c>
    </row>
    <row r="80" spans="1:18" ht="25.5" customHeight="1">
      <c r="A80" s="7">
        <v>79</v>
      </c>
      <c r="B80" s="10" t="s">
        <v>273</v>
      </c>
      <c r="C80" s="10" t="s">
        <v>73</v>
      </c>
      <c r="D80" s="10" t="s">
        <v>274</v>
      </c>
      <c r="E80" s="10" t="s">
        <v>93</v>
      </c>
      <c r="F80" s="10">
        <v>4</v>
      </c>
      <c r="G80" s="10">
        <v>3</v>
      </c>
      <c r="H80" s="10">
        <v>2</v>
      </c>
      <c r="I80" s="10">
        <v>2</v>
      </c>
      <c r="J80" s="11">
        <f>IF(COUNTBLANK(F80:H80)&gt;0,"",F80*0.45+G80*0.35+H80*0.2)</f>
        <v>3.2499999999999996</v>
      </c>
      <c r="K80" s="11" t="str">
        <f>IF(J80="","",IF(OR(E80="Ja",E80="Yes"),"Tier 0 – Foundation",INDEX('Class-Matrix'!$B$4:$B$7,MATCH(J80,'Class-Matrix'!$A$4:$A$7,1))))</f>
        <v>Tier 3 – Silver</v>
      </c>
      <c r="L80" s="12" t="str">
        <f>IF(K80="","",VLOOKUP(K80,'Class-Matrix'!$B$12:$H$16,2,FALSE()))</f>
        <v>&lt; 4 h</v>
      </c>
      <c r="M80" s="12" t="str">
        <f>IF(K80="","",VLOOKUP(K80,'Class-Matrix'!$B$12:$H$16,3,FALSE()))</f>
        <v>&lt; 24 h</v>
      </c>
      <c r="N80" s="12" t="str">
        <f>IF(K80="","",VLOOKUP(K80,'Class-Matrix'!$B$12:$H$16,4,FALSE()))</f>
        <v>Daily backup, immutability optional, standardized VRO runbook</v>
      </c>
      <c r="O80" s="10"/>
      <c r="P80" s="10"/>
      <c r="Q80" s="10"/>
      <c r="R80" s="10" t="s">
        <v>94</v>
      </c>
    </row>
    <row r="81" spans="1:18" ht="25.5" customHeight="1">
      <c r="A81" s="7">
        <v>80</v>
      </c>
      <c r="B81" s="10" t="s">
        <v>275</v>
      </c>
      <c r="C81" s="10" t="s">
        <v>183</v>
      </c>
      <c r="D81" s="10" t="s">
        <v>276</v>
      </c>
      <c r="E81" s="10" t="s">
        <v>93</v>
      </c>
      <c r="F81" s="10">
        <v>4</v>
      </c>
      <c r="G81" s="10">
        <v>4</v>
      </c>
      <c r="H81" s="10">
        <v>2</v>
      </c>
      <c r="I81" s="10">
        <v>2</v>
      </c>
      <c r="J81" s="11">
        <f>IF(COUNTBLANK(F81:H81)&gt;0,"",F81*0.45+G81*0.35+H81*0.2)</f>
        <v>3.6</v>
      </c>
      <c r="K81" s="11" t="str">
        <f>IF(J81="","",IF(OR(E81="Ja",E81="Yes"),"Tier 0 – Foundation",INDEX('Class-Matrix'!$B$4:$B$7,MATCH(J81,'Class-Matrix'!$A$4:$A$7,1))))</f>
        <v>Tier 2 – Gold</v>
      </c>
      <c r="L81" s="12" t="str">
        <f>IF(K81="","",VLOOKUP(K81,'Class-Matrix'!$B$12:$H$16,2,FALSE()))</f>
        <v>&lt; 1 h</v>
      </c>
      <c r="M81" s="12" t="str">
        <f>IF(K81="","",VLOOKUP(K81,'Class-Matrix'!$B$12:$H$16,3,FALSE()))</f>
        <v>&lt; 4 h</v>
      </c>
      <c r="N81" s="12" t="str">
        <f>IF(K81="","",VLOOKUP(K81,'Class-Matrix'!$B$12:$H$16,4,FALSE()))</f>
        <v>Multiple daily backups + optional replication, semi-automated VRO runbook</v>
      </c>
      <c r="O81" s="10"/>
      <c r="P81" s="10"/>
      <c r="Q81" s="10"/>
      <c r="R81" s="10" t="s">
        <v>277</v>
      </c>
    </row>
    <row r="82" spans="1:18" ht="25.5" customHeight="1">
      <c r="A82" s="7">
        <v>81</v>
      </c>
      <c r="B82" s="10" t="s">
        <v>278</v>
      </c>
      <c r="C82" s="10" t="s">
        <v>96</v>
      </c>
      <c r="D82" s="10" t="s">
        <v>279</v>
      </c>
      <c r="E82" s="10" t="s">
        <v>93</v>
      </c>
      <c r="F82" s="10">
        <v>4</v>
      </c>
      <c r="G82" s="10">
        <v>1</v>
      </c>
      <c r="H82" s="10">
        <v>2</v>
      </c>
      <c r="I82" s="10">
        <v>2</v>
      </c>
      <c r="J82" s="11">
        <f>IF(COUNTBLANK(F82:H82)&gt;0,"",F82*0.45+G82*0.35+H82*0.2)</f>
        <v>2.5499999999999998</v>
      </c>
      <c r="K82" s="11" t="str">
        <f>IF(J82="","",IF(OR(E82="Ja",E82="Yes"),"Tier 0 – Foundation",INDEX('Class-Matrix'!$B$4:$B$7,MATCH(J82,'Class-Matrix'!$A$4:$A$7,1))))</f>
        <v>Tier 3 – Silver</v>
      </c>
      <c r="L82" s="12" t="str">
        <f>IF(K82="","",VLOOKUP(K82,'Class-Matrix'!$B$12:$H$16,2,FALSE()))</f>
        <v>&lt; 4 h</v>
      </c>
      <c r="M82" s="12" t="str">
        <f>IF(K82="","",VLOOKUP(K82,'Class-Matrix'!$B$12:$H$16,3,FALSE()))</f>
        <v>&lt; 24 h</v>
      </c>
      <c r="N82" s="12" t="str">
        <f>IF(K82="","",VLOOKUP(K82,'Class-Matrix'!$B$12:$H$16,4,FALSE()))</f>
        <v>Daily backup, immutability optional, standardized VRO runbook</v>
      </c>
      <c r="O82" s="10"/>
      <c r="P82" s="10"/>
      <c r="Q82" s="10"/>
      <c r="R82" s="10" t="s">
        <v>280</v>
      </c>
    </row>
    <row r="83" spans="1:18" ht="25.5" customHeight="1">
      <c r="A83" s="7">
        <v>82</v>
      </c>
      <c r="B83" s="10" t="s">
        <v>281</v>
      </c>
      <c r="C83" s="10" t="s">
        <v>183</v>
      </c>
      <c r="D83" s="10" t="s">
        <v>282</v>
      </c>
      <c r="E83" s="10" t="s">
        <v>93</v>
      </c>
      <c r="F83" s="10">
        <v>3</v>
      </c>
      <c r="G83" s="10">
        <v>3</v>
      </c>
      <c r="H83" s="10">
        <v>2</v>
      </c>
      <c r="I83" s="10">
        <v>3</v>
      </c>
      <c r="J83" s="11">
        <f>IF(COUNTBLANK(F83:H83)&gt;0,"",F83*0.45+G83*0.35+H83*0.2)</f>
        <v>2.8</v>
      </c>
      <c r="K83" s="11" t="str">
        <f>IF(J83="","",IF(OR(E83="Ja",E83="Yes"),"Tier 0 – Foundation",INDEX('Class-Matrix'!$B$4:$B$7,MATCH(J83,'Class-Matrix'!$A$4:$A$7,1))))</f>
        <v>Tier 3 – Silver</v>
      </c>
      <c r="L83" s="12" t="str">
        <f>IF(K83="","",VLOOKUP(K83,'Class-Matrix'!$B$12:$H$16,2,FALSE()))</f>
        <v>&lt; 4 h</v>
      </c>
      <c r="M83" s="12" t="str">
        <f>IF(K83="","",VLOOKUP(K83,'Class-Matrix'!$B$12:$H$16,3,FALSE()))</f>
        <v>&lt; 24 h</v>
      </c>
      <c r="N83" s="12" t="str">
        <f>IF(K83="","",VLOOKUP(K83,'Class-Matrix'!$B$12:$H$16,4,FALSE()))</f>
        <v>Daily backup, immutability optional, standardized VRO runbook</v>
      </c>
      <c r="O83" s="10"/>
      <c r="P83" s="10"/>
      <c r="Q83" s="10"/>
      <c r="R83" s="10" t="s">
        <v>280</v>
      </c>
    </row>
    <row r="84" spans="1:18" ht="25.5" customHeight="1">
      <c r="A84" s="7">
        <v>83</v>
      </c>
      <c r="B84" s="10" t="s">
        <v>283</v>
      </c>
      <c r="C84" s="10" t="s">
        <v>183</v>
      </c>
      <c r="D84" s="10" t="s">
        <v>284</v>
      </c>
      <c r="E84" s="10" t="s">
        <v>93</v>
      </c>
      <c r="F84" s="10">
        <v>4</v>
      </c>
      <c r="G84" s="10">
        <v>3</v>
      </c>
      <c r="H84" s="10">
        <v>2</v>
      </c>
      <c r="I84" s="10">
        <v>3</v>
      </c>
      <c r="J84" s="11">
        <f>IF(COUNTBLANK(F84:H84)&gt;0,"",F84*0.45+G84*0.35+H84*0.2)</f>
        <v>3.2499999999999996</v>
      </c>
      <c r="K84" s="11" t="str">
        <f>IF(J84="","",IF(OR(E84="Ja",E84="Yes"),"Tier 0 – Foundation",INDEX('Class-Matrix'!$B$4:$B$7,MATCH(J84,'Class-Matrix'!$A$4:$A$7,1))))</f>
        <v>Tier 3 – Silver</v>
      </c>
      <c r="L84" s="12" t="str">
        <f>IF(K84="","",VLOOKUP(K84,'Class-Matrix'!$B$12:$H$16,2,FALSE()))</f>
        <v>&lt; 4 h</v>
      </c>
      <c r="M84" s="12" t="str">
        <f>IF(K84="","",VLOOKUP(K84,'Class-Matrix'!$B$12:$H$16,3,FALSE()))</f>
        <v>&lt; 24 h</v>
      </c>
      <c r="N84" s="12" t="str">
        <f>IF(K84="","",VLOOKUP(K84,'Class-Matrix'!$B$12:$H$16,4,FALSE()))</f>
        <v>Daily backup, immutability optional, standardized VRO runbook</v>
      </c>
      <c r="O84" s="10"/>
      <c r="P84" s="10"/>
      <c r="Q84" s="10"/>
      <c r="R84" s="10" t="s">
        <v>280</v>
      </c>
    </row>
    <row r="85" spans="1:18" ht="25.5" customHeight="1">
      <c r="A85" s="7">
        <v>84</v>
      </c>
      <c r="B85" s="10" t="s">
        <v>285</v>
      </c>
      <c r="C85" s="10" t="s">
        <v>89</v>
      </c>
      <c r="D85" s="10" t="s">
        <v>286</v>
      </c>
      <c r="E85" s="10" t="s">
        <v>93</v>
      </c>
      <c r="F85" s="10">
        <v>3</v>
      </c>
      <c r="G85" s="10">
        <v>1</v>
      </c>
      <c r="H85" s="10">
        <v>2</v>
      </c>
      <c r="I85" s="10">
        <v>2</v>
      </c>
      <c r="J85" s="11">
        <f>IF(COUNTBLANK(F85:H85)&gt;0,"",F85*0.45+G85*0.35+H85*0.2)</f>
        <v>2.1</v>
      </c>
      <c r="K85" s="11" t="str">
        <f>IF(J85="","",IF(OR(E85="Ja",E85="Yes"),"Tier 0 – Foundation",INDEX('Class-Matrix'!$B$4:$B$7,MATCH(J85,'Class-Matrix'!$A$4:$A$7,1))))</f>
        <v>Tier 4 – Bronze</v>
      </c>
      <c r="L85" s="12" t="str">
        <f>IF(K85="","",VLOOKUP(K85,'Class-Matrix'!$B$12:$H$16,2,FALSE()))</f>
        <v>&lt; 24 h</v>
      </c>
      <c r="M85" s="12" t="str">
        <f>IF(K85="","",VLOOKUP(K85,'Class-Matrix'!$B$12:$H$16,3,FALSE()))</f>
        <v>&lt; 72 h / best effort</v>
      </c>
      <c r="N85" s="12" t="str">
        <f>IF(K85="","",VLOOKUP(K85,'Class-Matrix'!$B$12:$H$16,4,FALSE()))</f>
        <v>Standard backup policy (daily/weekly), manual recovery acceptable</v>
      </c>
      <c r="O85" s="10"/>
      <c r="P85" s="10"/>
      <c r="Q85" s="10"/>
      <c r="R85" s="10" t="s">
        <v>280</v>
      </c>
    </row>
    <row r="86" spans="1:18" ht="25.5" customHeight="1">
      <c r="A86" s="7">
        <v>85</v>
      </c>
      <c r="B86" s="10" t="s">
        <v>287</v>
      </c>
      <c r="C86" s="10" t="s">
        <v>73</v>
      </c>
      <c r="D86" s="10" t="s">
        <v>288</v>
      </c>
      <c r="E86" s="10" t="s">
        <v>93</v>
      </c>
      <c r="F86" s="10">
        <v>2</v>
      </c>
      <c r="G86" s="10">
        <v>2</v>
      </c>
      <c r="H86" s="10">
        <v>2</v>
      </c>
      <c r="I86" s="10">
        <v>2</v>
      </c>
      <c r="J86" s="11">
        <f>IF(COUNTBLANK(F86:H86)&gt;0,"",F86*0.45+G86*0.35+H86*0.2)</f>
        <v>2</v>
      </c>
      <c r="K86" s="11" t="str">
        <f>IF(J86="","",IF(OR(E86="Ja",E86="Yes"),"Tier 0 – Foundation",INDEX('Class-Matrix'!$B$4:$B$7,MATCH(J86,'Class-Matrix'!$A$4:$A$7,1))))</f>
        <v>Tier 4 – Bronze</v>
      </c>
      <c r="L86" s="12" t="str">
        <f>IF(K86="","",VLOOKUP(K86,'Class-Matrix'!$B$12:$H$16,2,FALSE()))</f>
        <v>&lt; 24 h</v>
      </c>
      <c r="M86" s="12" t="str">
        <f>IF(K86="","",VLOOKUP(K86,'Class-Matrix'!$B$12:$H$16,3,FALSE()))</f>
        <v>&lt; 72 h / best effort</v>
      </c>
      <c r="N86" s="12" t="str">
        <f>IF(K86="","",VLOOKUP(K86,'Class-Matrix'!$B$12:$H$16,4,FALSE()))</f>
        <v>Standard backup policy (daily/weekly), manual recovery acceptable</v>
      </c>
      <c r="O86" s="10"/>
      <c r="P86" s="10"/>
      <c r="Q86" s="10"/>
      <c r="R86" s="10" t="s">
        <v>280</v>
      </c>
    </row>
    <row r="87" spans="1:18" ht="25.5" customHeight="1">
      <c r="A87" s="7">
        <v>86</v>
      </c>
      <c r="B87" s="10" t="s">
        <v>289</v>
      </c>
      <c r="C87" s="10" t="s">
        <v>86</v>
      </c>
      <c r="D87" s="10" t="s">
        <v>290</v>
      </c>
      <c r="E87" s="10" t="s">
        <v>93</v>
      </c>
      <c r="F87" s="10">
        <v>3</v>
      </c>
      <c r="G87" s="10">
        <v>2</v>
      </c>
      <c r="H87" s="10">
        <v>1</v>
      </c>
      <c r="I87" s="10">
        <v>1</v>
      </c>
      <c r="J87" s="11">
        <f>IF(COUNTBLANK(F87:H87)&gt;0,"",F87*0.45+G87*0.35+H87*0.2)</f>
        <v>2.25</v>
      </c>
      <c r="K87" s="11" t="str">
        <f>IF(J87="","",IF(OR(E87="Ja",E87="Yes"),"Tier 0 – Foundation",INDEX('Class-Matrix'!$B$4:$B$7,MATCH(J87,'Class-Matrix'!$A$4:$A$7,1))))</f>
        <v>Tier 4 – Bronze</v>
      </c>
      <c r="L87" s="12" t="str">
        <f>IF(K87="","",VLOOKUP(K87,'Class-Matrix'!$B$12:$H$16,2,FALSE()))</f>
        <v>&lt; 24 h</v>
      </c>
      <c r="M87" s="12" t="str">
        <f>IF(K87="","",VLOOKUP(K87,'Class-Matrix'!$B$12:$H$16,3,FALSE()))</f>
        <v>&lt; 72 h / best effort</v>
      </c>
      <c r="N87" s="12" t="str">
        <f>IF(K87="","",VLOOKUP(K87,'Class-Matrix'!$B$12:$H$16,4,FALSE()))</f>
        <v>Standard backup policy (daily/weekly), manual recovery acceptable</v>
      </c>
      <c r="O87" s="10"/>
      <c r="P87" s="10"/>
      <c r="Q87" s="10"/>
      <c r="R87" s="10" t="s">
        <v>280</v>
      </c>
    </row>
    <row r="88" spans="1:18" ht="25.5" customHeight="1">
      <c r="A88" s="7">
        <v>87</v>
      </c>
      <c r="B88" s="10" t="s">
        <v>291</v>
      </c>
      <c r="C88" s="10" t="s">
        <v>83</v>
      </c>
      <c r="D88" s="10" t="s">
        <v>292</v>
      </c>
      <c r="E88" s="10" t="s">
        <v>93</v>
      </c>
      <c r="F88" s="10">
        <v>3</v>
      </c>
      <c r="G88" s="10">
        <v>3</v>
      </c>
      <c r="H88" s="10">
        <v>1</v>
      </c>
      <c r="I88" s="10">
        <v>3</v>
      </c>
      <c r="J88" s="11">
        <f>IF(COUNTBLANK(F88:H88)&gt;0,"",F88*0.45+G88*0.35+H88*0.2)</f>
        <v>2.6</v>
      </c>
      <c r="K88" s="11" t="str">
        <f>IF(J88="","",IF(OR(E88="Ja",E88="Yes"),"Tier 0 – Foundation",INDEX('Class-Matrix'!$B$4:$B$7,MATCH(J88,'Class-Matrix'!$A$4:$A$7,1))))</f>
        <v>Tier 3 – Silver</v>
      </c>
      <c r="L88" s="12" t="str">
        <f>IF(K88="","",VLOOKUP(K88,'Class-Matrix'!$B$12:$H$16,2,FALSE()))</f>
        <v>&lt; 4 h</v>
      </c>
      <c r="M88" s="12" t="str">
        <f>IF(K88="","",VLOOKUP(K88,'Class-Matrix'!$B$12:$H$16,3,FALSE()))</f>
        <v>&lt; 24 h</v>
      </c>
      <c r="N88" s="12" t="str">
        <f>IF(K88="","",VLOOKUP(K88,'Class-Matrix'!$B$12:$H$16,4,FALSE()))</f>
        <v>Daily backup, immutability optional, standardized VRO runbook</v>
      </c>
      <c r="O88" s="10"/>
      <c r="P88" s="10"/>
      <c r="Q88" s="10"/>
      <c r="R88" s="10" t="s">
        <v>280</v>
      </c>
    </row>
    <row r="89" spans="1:18" ht="25.5" customHeight="1">
      <c r="A89" s="7">
        <v>88</v>
      </c>
      <c r="B89" s="10" t="s">
        <v>293</v>
      </c>
      <c r="C89" s="10" t="s">
        <v>73</v>
      </c>
      <c r="D89" s="10" t="s">
        <v>294</v>
      </c>
      <c r="E89" s="10" t="s">
        <v>93</v>
      </c>
      <c r="F89" s="10">
        <v>4</v>
      </c>
      <c r="G89" s="10">
        <v>2</v>
      </c>
      <c r="H89" s="10">
        <v>3</v>
      </c>
      <c r="I89" s="10">
        <v>3</v>
      </c>
      <c r="J89" s="11">
        <f>IF(COUNTBLANK(F89:H89)&gt;0,"",F89*0.45+G89*0.35+H89*0.2)</f>
        <v>3.1</v>
      </c>
      <c r="K89" s="11" t="str">
        <f>IF(J89="","",IF(OR(E89="Ja",E89="Yes"),"Tier 0 – Foundation",INDEX('Class-Matrix'!$B$4:$B$7,MATCH(J89,'Class-Matrix'!$A$4:$A$7,1))))</f>
        <v>Tier 3 – Silver</v>
      </c>
      <c r="L89" s="12" t="str">
        <f>IF(K89="","",VLOOKUP(K89,'Class-Matrix'!$B$12:$H$16,2,FALSE()))</f>
        <v>&lt; 4 h</v>
      </c>
      <c r="M89" s="12" t="str">
        <f>IF(K89="","",VLOOKUP(K89,'Class-Matrix'!$B$12:$H$16,3,FALSE()))</f>
        <v>&lt; 24 h</v>
      </c>
      <c r="N89" s="12" t="str">
        <f>IF(K89="","",VLOOKUP(K89,'Class-Matrix'!$B$12:$H$16,4,FALSE()))</f>
        <v>Daily backup, immutability optional, standardized VRO runbook</v>
      </c>
      <c r="O89" s="10"/>
      <c r="P89" s="10"/>
      <c r="Q89" s="10"/>
      <c r="R89" s="10" t="s">
        <v>280</v>
      </c>
    </row>
    <row r="90" spans="1:18" ht="25.5" customHeight="1">
      <c r="A90" s="7">
        <v>89</v>
      </c>
      <c r="B90" s="10" t="s">
        <v>295</v>
      </c>
      <c r="C90" s="10" t="s">
        <v>73</v>
      </c>
      <c r="D90" s="10" t="s">
        <v>296</v>
      </c>
      <c r="E90" s="10" t="s">
        <v>93</v>
      </c>
      <c r="F90" s="10">
        <v>4</v>
      </c>
      <c r="G90" s="10">
        <v>2</v>
      </c>
      <c r="H90" s="10">
        <v>2</v>
      </c>
      <c r="I90" s="10">
        <v>1</v>
      </c>
      <c r="J90" s="11">
        <f>IF(COUNTBLANK(F90:H90)&gt;0,"",F90*0.45+G90*0.35+H90*0.2)</f>
        <v>2.9</v>
      </c>
      <c r="K90" s="11" t="str">
        <f>IF(J90="","",IF(OR(E90="Ja",E90="Yes"),"Tier 0 – Foundation",INDEX('Class-Matrix'!$B$4:$B$7,MATCH(J90,'Class-Matrix'!$A$4:$A$7,1))))</f>
        <v>Tier 3 – Silver</v>
      </c>
      <c r="L90" s="12" t="str">
        <f>IF(K90="","",VLOOKUP(K90,'Class-Matrix'!$B$12:$H$16,2,FALSE()))</f>
        <v>&lt; 4 h</v>
      </c>
      <c r="M90" s="12" t="str">
        <f>IF(K90="","",VLOOKUP(K90,'Class-Matrix'!$B$12:$H$16,3,FALSE()))</f>
        <v>&lt; 24 h</v>
      </c>
      <c r="N90" s="12" t="str">
        <f>IF(K90="","",VLOOKUP(K90,'Class-Matrix'!$B$12:$H$16,4,FALSE()))</f>
        <v>Daily backup, immutability optional, standardized VRO runbook</v>
      </c>
      <c r="O90" s="10"/>
      <c r="P90" s="10"/>
      <c r="Q90" s="10"/>
      <c r="R90" s="10" t="s">
        <v>280</v>
      </c>
    </row>
    <row r="91" spans="1:18" ht="25.5" customHeight="1">
      <c r="A91" s="7">
        <v>90</v>
      </c>
      <c r="B91" s="10" t="s">
        <v>297</v>
      </c>
      <c r="C91" s="10" t="s">
        <v>77</v>
      </c>
      <c r="D91" s="10" t="s">
        <v>298</v>
      </c>
      <c r="E91" s="10" t="s">
        <v>93</v>
      </c>
      <c r="F91" s="10">
        <v>2</v>
      </c>
      <c r="G91" s="10">
        <v>3</v>
      </c>
      <c r="H91" s="10">
        <v>2</v>
      </c>
      <c r="I91" s="10">
        <v>2</v>
      </c>
      <c r="J91" s="11">
        <f>IF(COUNTBLANK(F91:H91)&gt;0,"",F91*0.45+G91*0.35+H91*0.2)</f>
        <v>2.3499999999999996</v>
      </c>
      <c r="K91" s="11" t="str">
        <f>IF(J91="","",IF(OR(E91="Ja",E91="Yes"),"Tier 0 – Foundation",INDEX('Class-Matrix'!$B$4:$B$7,MATCH(J91,'Class-Matrix'!$A$4:$A$7,1))))</f>
        <v>Tier 4 – Bronze</v>
      </c>
      <c r="L91" s="12" t="str">
        <f>IF(K91="","",VLOOKUP(K91,'Class-Matrix'!$B$12:$H$16,2,FALSE()))</f>
        <v>&lt; 24 h</v>
      </c>
      <c r="M91" s="12" t="str">
        <f>IF(K91="","",VLOOKUP(K91,'Class-Matrix'!$B$12:$H$16,3,FALSE()))</f>
        <v>&lt; 72 h / best effort</v>
      </c>
      <c r="N91" s="12" t="str">
        <f>IF(K91="","",VLOOKUP(K91,'Class-Matrix'!$B$12:$H$16,4,FALSE()))</f>
        <v>Standard backup policy (daily/weekly), manual recovery acceptable</v>
      </c>
      <c r="O91" s="10"/>
      <c r="P91" s="10"/>
      <c r="Q91" s="10"/>
      <c r="R91" s="10" t="s">
        <v>280</v>
      </c>
    </row>
    <row r="92" spans="1:18" ht="25.5" customHeight="1">
      <c r="A92" s="7">
        <v>91</v>
      </c>
      <c r="B92" s="10" t="s">
        <v>299</v>
      </c>
      <c r="C92" s="10" t="s">
        <v>112</v>
      </c>
      <c r="D92" s="10" t="s">
        <v>300</v>
      </c>
      <c r="E92" s="10" t="s">
        <v>93</v>
      </c>
      <c r="F92" s="10">
        <v>4</v>
      </c>
      <c r="G92" s="10">
        <v>1</v>
      </c>
      <c r="H92" s="10">
        <v>2</v>
      </c>
      <c r="I92" s="10">
        <v>1</v>
      </c>
      <c r="J92" s="11">
        <f>IF(COUNTBLANK(F92:H92)&gt;0,"",F92*0.45+G92*0.35+H92*0.2)</f>
        <v>2.5499999999999998</v>
      </c>
      <c r="K92" s="11" t="str">
        <f>IF(J92="","",IF(OR(E92="Ja",E92="Yes"),"Tier 0 – Foundation",INDEX('Class-Matrix'!$B$4:$B$7,MATCH(J92,'Class-Matrix'!$A$4:$A$7,1))))</f>
        <v>Tier 3 – Silver</v>
      </c>
      <c r="L92" s="12" t="str">
        <f>IF(K92="","",VLOOKUP(K92,'Class-Matrix'!$B$12:$H$16,2,FALSE()))</f>
        <v>&lt; 4 h</v>
      </c>
      <c r="M92" s="12" t="str">
        <f>IF(K92="","",VLOOKUP(K92,'Class-Matrix'!$B$12:$H$16,3,FALSE()))</f>
        <v>&lt; 24 h</v>
      </c>
      <c r="N92" s="12" t="str">
        <f>IF(K92="","",VLOOKUP(K92,'Class-Matrix'!$B$12:$H$16,4,FALSE()))</f>
        <v>Daily backup, immutability optional, standardized VRO runbook</v>
      </c>
      <c r="O92" s="10"/>
      <c r="P92" s="10"/>
      <c r="Q92" s="10"/>
      <c r="R92" s="10" t="s">
        <v>280</v>
      </c>
    </row>
    <row r="93" spans="1:18" ht="25.5" customHeight="1">
      <c r="A93" s="7">
        <v>92</v>
      </c>
      <c r="B93" s="10" t="s">
        <v>301</v>
      </c>
      <c r="C93" s="10" t="s">
        <v>73</v>
      </c>
      <c r="D93" s="10" t="s">
        <v>302</v>
      </c>
      <c r="E93" s="10" t="s">
        <v>93</v>
      </c>
      <c r="F93" s="10">
        <v>4</v>
      </c>
      <c r="G93" s="10">
        <v>2</v>
      </c>
      <c r="H93" s="10">
        <v>3</v>
      </c>
      <c r="I93" s="10">
        <v>2</v>
      </c>
      <c r="J93" s="11">
        <f>IF(COUNTBLANK(F93:H93)&gt;0,"",F93*0.45+G93*0.35+H93*0.2)</f>
        <v>3.1</v>
      </c>
      <c r="K93" s="11" t="str">
        <f>IF(J93="","",IF(OR(E93="Ja",E93="Yes"),"Tier 0 – Foundation",INDEX('Class-Matrix'!$B$4:$B$7,MATCH(J93,'Class-Matrix'!$A$4:$A$7,1))))</f>
        <v>Tier 3 – Silver</v>
      </c>
      <c r="L93" s="12" t="str">
        <f>IF(K93="","",VLOOKUP(K93,'Class-Matrix'!$B$12:$H$16,2,FALSE()))</f>
        <v>&lt; 4 h</v>
      </c>
      <c r="M93" s="12" t="str">
        <f>IF(K93="","",VLOOKUP(K93,'Class-Matrix'!$B$12:$H$16,3,FALSE()))</f>
        <v>&lt; 24 h</v>
      </c>
      <c r="N93" s="12" t="str">
        <f>IF(K93="","",VLOOKUP(K93,'Class-Matrix'!$B$12:$H$16,4,FALSE()))</f>
        <v>Daily backup, immutability optional, standardized VRO runbook</v>
      </c>
      <c r="O93" s="10"/>
      <c r="P93" s="10"/>
      <c r="Q93" s="10"/>
      <c r="R93" s="10" t="s">
        <v>280</v>
      </c>
    </row>
    <row r="94" spans="1:18" ht="25.5" customHeight="1">
      <c r="A94" s="7">
        <v>93</v>
      </c>
      <c r="B94" s="10" t="s">
        <v>303</v>
      </c>
      <c r="C94" s="10" t="s">
        <v>96</v>
      </c>
      <c r="D94" s="10" t="s">
        <v>304</v>
      </c>
      <c r="E94" s="10" t="s">
        <v>93</v>
      </c>
      <c r="F94" s="10">
        <v>4</v>
      </c>
      <c r="G94" s="10">
        <v>3</v>
      </c>
      <c r="H94" s="10">
        <v>3</v>
      </c>
      <c r="I94" s="10">
        <v>2</v>
      </c>
      <c r="J94" s="11">
        <f>IF(COUNTBLANK(F94:H94)&gt;0,"",F94*0.45+G94*0.35+H94*0.2)</f>
        <v>3.4499999999999997</v>
      </c>
      <c r="K94" s="11" t="str">
        <f>IF(J94="","",IF(OR(E94="Ja",E94="Yes"),"Tier 0 – Foundation",INDEX('Class-Matrix'!$B$4:$B$7,MATCH(J94,'Class-Matrix'!$A$4:$A$7,1))))</f>
        <v>Tier 3 – Silver</v>
      </c>
      <c r="L94" s="12" t="str">
        <f>IF(K94="","",VLOOKUP(K94,'Class-Matrix'!$B$12:$H$16,2,FALSE()))</f>
        <v>&lt; 4 h</v>
      </c>
      <c r="M94" s="12" t="str">
        <f>IF(K94="","",VLOOKUP(K94,'Class-Matrix'!$B$12:$H$16,3,FALSE()))</f>
        <v>&lt; 24 h</v>
      </c>
      <c r="N94" s="12" t="str">
        <f>IF(K94="","",VLOOKUP(K94,'Class-Matrix'!$B$12:$H$16,4,FALSE()))</f>
        <v>Daily backup, immutability optional, standardized VRO runbook</v>
      </c>
      <c r="O94" s="10"/>
      <c r="P94" s="10"/>
      <c r="Q94" s="10"/>
      <c r="R94" s="10" t="s">
        <v>280</v>
      </c>
    </row>
    <row r="95" spans="1:18" ht="25.5" customHeight="1">
      <c r="A95" s="7">
        <v>94</v>
      </c>
      <c r="B95" s="10" t="s">
        <v>305</v>
      </c>
      <c r="C95" s="10" t="s">
        <v>107</v>
      </c>
      <c r="D95" s="10" t="s">
        <v>306</v>
      </c>
      <c r="E95" s="10" t="s">
        <v>93</v>
      </c>
      <c r="F95" s="10">
        <v>5</v>
      </c>
      <c r="G95" s="10">
        <v>4</v>
      </c>
      <c r="H95" s="10">
        <v>2</v>
      </c>
      <c r="I95" s="10">
        <v>3</v>
      </c>
      <c r="J95" s="11">
        <f>IF(COUNTBLANK(F95:H95)&gt;0,"",F95*0.45+G95*0.35+H95*0.2)</f>
        <v>4.05</v>
      </c>
      <c r="K95" s="11" t="str">
        <f>IF(J95="","",IF(OR(E95="Ja",E95="Yes"),"Tier 0 – Foundation",INDEX('Class-Matrix'!$B$4:$B$7,MATCH(J95,'Class-Matrix'!$A$4:$A$7,1))))</f>
        <v>Tier 2 – Gold</v>
      </c>
      <c r="L95" s="12" t="str">
        <f>IF(K95="","",VLOOKUP(K95,'Class-Matrix'!$B$12:$H$16,2,FALSE()))</f>
        <v>&lt; 1 h</v>
      </c>
      <c r="M95" s="12" t="str">
        <f>IF(K95="","",VLOOKUP(K95,'Class-Matrix'!$B$12:$H$16,3,FALSE()))</f>
        <v>&lt; 4 h</v>
      </c>
      <c r="N95" s="12" t="str">
        <f>IF(K95="","",VLOOKUP(K95,'Class-Matrix'!$B$12:$H$16,4,FALSE()))</f>
        <v>Multiple daily backups + optional replication, semi-automated VRO runbook</v>
      </c>
      <c r="O95" s="10"/>
      <c r="P95" s="10"/>
      <c r="Q95" s="10"/>
      <c r="R95" s="10" t="s">
        <v>262</v>
      </c>
    </row>
    <row r="96" spans="1:18" ht="25.5" customHeight="1">
      <c r="A96" s="7">
        <v>95</v>
      </c>
      <c r="B96" s="10" t="s">
        <v>307</v>
      </c>
      <c r="C96" s="10" t="s">
        <v>83</v>
      </c>
      <c r="D96" s="10" t="s">
        <v>308</v>
      </c>
      <c r="E96" s="10" t="s">
        <v>93</v>
      </c>
      <c r="F96" s="10">
        <v>4</v>
      </c>
      <c r="G96" s="10">
        <v>4</v>
      </c>
      <c r="H96" s="10">
        <v>2</v>
      </c>
      <c r="I96" s="10">
        <v>3</v>
      </c>
      <c r="J96" s="11">
        <f>IF(COUNTBLANK(F96:H96)&gt;0,"",F96*0.45+G96*0.35+H96*0.2)</f>
        <v>3.6</v>
      </c>
      <c r="K96" s="11" t="str">
        <f>IF(J96="","",IF(OR(E96="Ja",E96="Yes"),"Tier 0 – Foundation",INDEX('Class-Matrix'!$B$4:$B$7,MATCH(J96,'Class-Matrix'!$A$4:$A$7,1))))</f>
        <v>Tier 2 – Gold</v>
      </c>
      <c r="L96" s="12" t="str">
        <f>IF(K96="","",VLOOKUP(K96,'Class-Matrix'!$B$12:$H$16,2,FALSE()))</f>
        <v>&lt; 1 h</v>
      </c>
      <c r="M96" s="12" t="str">
        <f>IF(K96="","",VLOOKUP(K96,'Class-Matrix'!$B$12:$H$16,3,FALSE()))</f>
        <v>&lt; 4 h</v>
      </c>
      <c r="N96" s="12" t="str">
        <f>IF(K96="","",VLOOKUP(K96,'Class-Matrix'!$B$12:$H$16,4,FALSE()))</f>
        <v>Multiple daily backups + optional replication, semi-automated VRO runbook</v>
      </c>
      <c r="O96" s="10"/>
      <c r="P96" s="10"/>
      <c r="Q96" s="10"/>
      <c r="R96" s="10" t="s">
        <v>262</v>
      </c>
    </row>
    <row r="97" spans="1:18" ht="25.5" customHeight="1">
      <c r="A97" s="7">
        <v>96</v>
      </c>
      <c r="B97" s="10" t="s">
        <v>309</v>
      </c>
      <c r="C97" s="10" t="s">
        <v>89</v>
      </c>
      <c r="D97" s="10" t="s">
        <v>310</v>
      </c>
      <c r="E97" s="10" t="s">
        <v>93</v>
      </c>
      <c r="F97" s="10">
        <v>2</v>
      </c>
      <c r="G97" s="10">
        <v>1</v>
      </c>
      <c r="H97" s="10">
        <v>2</v>
      </c>
      <c r="I97" s="10">
        <v>3</v>
      </c>
      <c r="J97" s="11">
        <f>IF(COUNTBLANK(F97:H97)&gt;0,"",F97*0.45+G97*0.35+H97*0.2)</f>
        <v>1.65</v>
      </c>
      <c r="K97" s="11" t="str">
        <f>IF(J97="","",IF(OR(E97="Ja",E97="Yes"),"Tier 0 – Foundation",INDEX('Class-Matrix'!$B$4:$B$7,MATCH(J97,'Class-Matrix'!$A$4:$A$7,1))))</f>
        <v>Tier 4 – Bronze</v>
      </c>
      <c r="L97" s="12" t="str">
        <f>IF(K97="","",VLOOKUP(K97,'Class-Matrix'!$B$12:$H$16,2,FALSE()))</f>
        <v>&lt; 24 h</v>
      </c>
      <c r="M97" s="12" t="str">
        <f>IF(K97="","",VLOOKUP(K97,'Class-Matrix'!$B$12:$H$16,3,FALSE()))</f>
        <v>&lt; 72 h / best effort</v>
      </c>
      <c r="N97" s="12" t="str">
        <f>IF(K97="","",VLOOKUP(K97,'Class-Matrix'!$B$12:$H$16,4,FALSE()))</f>
        <v>Standard backup policy (daily/weekly), manual recovery acceptable</v>
      </c>
      <c r="O97" s="10"/>
      <c r="P97" s="10"/>
      <c r="Q97" s="10"/>
      <c r="R97" s="10"/>
    </row>
    <row r="98" spans="1:18" ht="25.5" customHeight="1">
      <c r="A98" s="7">
        <v>97</v>
      </c>
      <c r="B98" s="10" t="s">
        <v>311</v>
      </c>
      <c r="C98" s="10" t="s">
        <v>96</v>
      </c>
      <c r="D98" s="10" t="s">
        <v>312</v>
      </c>
      <c r="E98" s="10" t="s">
        <v>93</v>
      </c>
      <c r="F98" s="10">
        <v>1</v>
      </c>
      <c r="G98" s="10">
        <v>2</v>
      </c>
      <c r="H98" s="10">
        <v>2</v>
      </c>
      <c r="I98" s="10">
        <v>2</v>
      </c>
      <c r="J98" s="11">
        <f>IF(COUNTBLANK(F98:H98)&gt;0,"",F98*0.45+G98*0.35+H98*0.2)</f>
        <v>1.5499999999999998</v>
      </c>
      <c r="K98" s="11" t="str">
        <f>IF(J98="","",IF(OR(E98="Ja",E98="Yes"),"Tier 0 – Foundation",INDEX('Class-Matrix'!$B$4:$B$7,MATCH(J98,'Class-Matrix'!$A$4:$A$7,1))))</f>
        <v>Tier 4 – Bronze</v>
      </c>
      <c r="L98" s="12" t="str">
        <f>IF(K98="","",VLOOKUP(K98,'Class-Matrix'!$B$12:$H$16,2,FALSE()))</f>
        <v>&lt; 24 h</v>
      </c>
      <c r="M98" s="12" t="str">
        <f>IF(K98="","",VLOOKUP(K98,'Class-Matrix'!$B$12:$H$16,3,FALSE()))</f>
        <v>&lt; 72 h / best effort</v>
      </c>
      <c r="N98" s="12" t="str">
        <f>IF(K98="","",VLOOKUP(K98,'Class-Matrix'!$B$12:$H$16,4,FALSE()))</f>
        <v>Standard backup policy (daily/weekly), manual recovery acceptable</v>
      </c>
      <c r="O98" s="10"/>
      <c r="P98" s="10"/>
      <c r="Q98" s="10"/>
      <c r="R98" s="10" t="s">
        <v>215</v>
      </c>
    </row>
    <row r="99" spans="1:18" ht="25.5" customHeight="1">
      <c r="A99" s="7">
        <v>98</v>
      </c>
      <c r="B99" s="10" t="s">
        <v>313</v>
      </c>
      <c r="C99" s="10" t="s">
        <v>159</v>
      </c>
      <c r="D99" s="10" t="s">
        <v>314</v>
      </c>
      <c r="E99" s="10" t="s">
        <v>93</v>
      </c>
      <c r="F99" s="10">
        <v>1</v>
      </c>
      <c r="G99" s="10">
        <v>2</v>
      </c>
      <c r="H99" s="10">
        <v>2</v>
      </c>
      <c r="I99" s="10">
        <v>4</v>
      </c>
      <c r="J99" s="11">
        <f>IF(COUNTBLANK(F99:H99)&gt;0,"",F99*0.45+G99*0.35+H99*0.2)</f>
        <v>1.5499999999999998</v>
      </c>
      <c r="K99" s="11" t="str">
        <f>IF(J99="","",IF(OR(E99="Ja",E99="Yes"),"Tier 0 – Foundation",INDEX('Class-Matrix'!$B$4:$B$7,MATCH(J99,'Class-Matrix'!$A$4:$A$7,1))))</f>
        <v>Tier 4 – Bronze</v>
      </c>
      <c r="L99" s="12" t="str">
        <f>IF(K99="","",VLOOKUP(K99,'Class-Matrix'!$B$12:$H$16,2,FALSE()))</f>
        <v>&lt; 24 h</v>
      </c>
      <c r="M99" s="12" t="str">
        <f>IF(K99="","",VLOOKUP(K99,'Class-Matrix'!$B$12:$H$16,3,FALSE()))</f>
        <v>&lt; 72 h / best effort</v>
      </c>
      <c r="N99" s="12" t="str">
        <f>IF(K99="","",VLOOKUP(K99,'Class-Matrix'!$B$12:$H$16,4,FALSE()))</f>
        <v>Standard backup policy (daily/weekly), manual recovery acceptable</v>
      </c>
      <c r="O99" s="10"/>
      <c r="P99" s="10"/>
      <c r="Q99" s="10"/>
      <c r="R99" s="10" t="s">
        <v>94</v>
      </c>
    </row>
    <row r="100" spans="1:18" ht="25.5" customHeight="1">
      <c r="A100" s="7">
        <v>99</v>
      </c>
      <c r="B100" s="10" t="s">
        <v>315</v>
      </c>
      <c r="C100" s="10" t="s">
        <v>115</v>
      </c>
      <c r="D100" s="10" t="s">
        <v>316</v>
      </c>
      <c r="E100" s="10" t="s">
        <v>93</v>
      </c>
      <c r="F100" s="10">
        <v>1</v>
      </c>
      <c r="G100" s="10">
        <v>2</v>
      </c>
      <c r="H100" s="10">
        <v>1</v>
      </c>
      <c r="I100" s="10">
        <v>4</v>
      </c>
      <c r="J100" s="11">
        <f>IF(COUNTBLANK(F100:H100)&gt;0,"",F100*0.45+G100*0.35+H100*0.2)</f>
        <v>1.3499999999999999</v>
      </c>
      <c r="K100" s="11" t="str">
        <f>IF(J100="","",IF(OR(E100="Ja",E100="Yes"),"Tier 0 – Foundation",INDEX('Class-Matrix'!$B$4:$B$7,MATCH(J100,'Class-Matrix'!$A$4:$A$7,1))))</f>
        <v>Tier 4 – Bronze</v>
      </c>
      <c r="L100" s="12" t="str">
        <f>IF(K100="","",VLOOKUP(K100,'Class-Matrix'!$B$12:$H$16,2,FALSE()))</f>
        <v>&lt; 24 h</v>
      </c>
      <c r="M100" s="12" t="str">
        <f>IF(K100="","",VLOOKUP(K100,'Class-Matrix'!$B$12:$H$16,3,FALSE()))</f>
        <v>&lt; 72 h / best effort</v>
      </c>
      <c r="N100" s="12" t="str">
        <f>IF(K100="","",VLOOKUP(K100,'Class-Matrix'!$B$12:$H$16,4,FALSE()))</f>
        <v>Standard backup policy (daily/weekly), manual recovery acceptable</v>
      </c>
      <c r="O100" s="10"/>
      <c r="P100" s="10"/>
      <c r="Q100" s="10"/>
      <c r="R100" s="10" t="s">
        <v>94</v>
      </c>
    </row>
    <row r="101" spans="1:18" ht="25.5" customHeight="1">
      <c r="A101" s="7">
        <v>100</v>
      </c>
      <c r="B101" s="10" t="s">
        <v>317</v>
      </c>
      <c r="C101" s="10" t="s">
        <v>86</v>
      </c>
      <c r="D101" s="10" t="s">
        <v>318</v>
      </c>
      <c r="E101" s="10" t="s">
        <v>93</v>
      </c>
      <c r="F101" s="10">
        <v>2</v>
      </c>
      <c r="G101" s="10">
        <v>2</v>
      </c>
      <c r="H101" s="10">
        <v>3</v>
      </c>
      <c r="I101" s="10">
        <v>4</v>
      </c>
      <c r="J101" s="11">
        <f>IF(COUNTBLANK(F101:H101)&gt;0,"",F101*0.45+G101*0.35+H101*0.2)</f>
        <v>2.2000000000000002</v>
      </c>
      <c r="K101" s="11" t="str">
        <f>IF(J101="","",IF(OR(E101="Ja",E101="Yes"),"Tier 0 – Foundation",INDEX('Class-Matrix'!$B$4:$B$7,MATCH(J101,'Class-Matrix'!$A$4:$A$7,1))))</f>
        <v>Tier 4 – Bronze</v>
      </c>
      <c r="L101" s="12" t="str">
        <f>IF(K101="","",VLOOKUP(K101,'Class-Matrix'!$B$12:$H$16,2,FALSE()))</f>
        <v>&lt; 24 h</v>
      </c>
      <c r="M101" s="12" t="str">
        <f>IF(K101="","",VLOOKUP(K101,'Class-Matrix'!$B$12:$H$16,3,FALSE()))</f>
        <v>&lt; 72 h / best effort</v>
      </c>
      <c r="N101" s="12" t="str">
        <f>IF(K101="","",VLOOKUP(K101,'Class-Matrix'!$B$12:$H$16,4,FALSE()))</f>
        <v>Standard backup policy (daily/weekly), manual recovery acceptable</v>
      </c>
      <c r="O101" s="10"/>
      <c r="P101" s="10"/>
      <c r="Q101" s="10"/>
      <c r="R101" s="10"/>
    </row>
    <row r="102" spans="1:18" ht="25.5" customHeight="1">
      <c r="A102" s="7">
        <v>101</v>
      </c>
      <c r="B102" s="10" t="s">
        <v>319</v>
      </c>
      <c r="C102" s="10" t="s">
        <v>73</v>
      </c>
      <c r="D102" s="10" t="s">
        <v>320</v>
      </c>
      <c r="E102" s="10" t="s">
        <v>93</v>
      </c>
      <c r="F102" s="10">
        <v>1</v>
      </c>
      <c r="G102" s="10">
        <v>2</v>
      </c>
      <c r="H102" s="10">
        <v>3</v>
      </c>
      <c r="I102" s="10">
        <v>4</v>
      </c>
      <c r="J102" s="11">
        <f>IF(COUNTBLANK(F102:H102)&gt;0,"",F102*0.45+G102*0.35+H102*0.2)</f>
        <v>1.75</v>
      </c>
      <c r="K102" s="11" t="str">
        <f>IF(J102="","",IF(OR(E102="Ja",E102="Yes"),"Tier 0 – Foundation",INDEX('Class-Matrix'!$B$4:$B$7,MATCH(J102,'Class-Matrix'!$A$4:$A$7,1))))</f>
        <v>Tier 4 – Bronze</v>
      </c>
      <c r="L102" s="12" t="str">
        <f>IF(K102="","",VLOOKUP(K102,'Class-Matrix'!$B$12:$H$16,2,FALSE()))</f>
        <v>&lt; 24 h</v>
      </c>
      <c r="M102" s="12" t="str">
        <f>IF(K102="","",VLOOKUP(K102,'Class-Matrix'!$B$12:$H$16,3,FALSE()))</f>
        <v>&lt; 72 h / best effort</v>
      </c>
      <c r="N102" s="12" t="str">
        <f>IF(K102="","",VLOOKUP(K102,'Class-Matrix'!$B$12:$H$16,4,FALSE()))</f>
        <v>Standard backup policy (daily/weekly), manual recovery acceptable</v>
      </c>
      <c r="O102" s="10"/>
      <c r="P102" s="10"/>
      <c r="Q102" s="10"/>
      <c r="R102" s="10"/>
    </row>
    <row r="103" spans="1:18" ht="25.5" customHeight="1">
      <c r="A103" s="7">
        <v>102</v>
      </c>
      <c r="B103" s="10" t="s">
        <v>321</v>
      </c>
      <c r="C103" s="10" t="s">
        <v>83</v>
      </c>
      <c r="D103" s="10" t="s">
        <v>322</v>
      </c>
      <c r="E103" s="10" t="s">
        <v>93</v>
      </c>
      <c r="F103" s="10">
        <v>1</v>
      </c>
      <c r="G103" s="10">
        <v>3</v>
      </c>
      <c r="H103" s="10">
        <v>3</v>
      </c>
      <c r="I103" s="10">
        <v>2</v>
      </c>
      <c r="J103" s="11">
        <f>IF(COUNTBLANK(F103:H103)&gt;0,"",F103*0.45+G103*0.35+H103*0.2)</f>
        <v>2.0999999999999996</v>
      </c>
      <c r="K103" s="11" t="str">
        <f>IF(J103="","",IF(OR(E103="Ja",E103="Yes"),"Tier 0 – Foundation",INDEX('Class-Matrix'!$B$4:$B$7,MATCH(J103,'Class-Matrix'!$A$4:$A$7,1))))</f>
        <v>Tier 4 – Bronze</v>
      </c>
      <c r="L103" s="12" t="str">
        <f>IF(K103="","",VLOOKUP(K103,'Class-Matrix'!$B$12:$H$16,2,FALSE()))</f>
        <v>&lt; 24 h</v>
      </c>
      <c r="M103" s="12" t="str">
        <f>IF(K103="","",VLOOKUP(K103,'Class-Matrix'!$B$12:$H$16,3,FALSE()))</f>
        <v>&lt; 72 h / best effort</v>
      </c>
      <c r="N103" s="12" t="str">
        <f>IF(K103="","",VLOOKUP(K103,'Class-Matrix'!$B$12:$H$16,4,FALSE()))</f>
        <v>Standard backup policy (daily/weekly), manual recovery acceptable</v>
      </c>
      <c r="O103" s="10"/>
      <c r="P103" s="10"/>
      <c r="Q103" s="10"/>
      <c r="R103" s="10"/>
    </row>
    <row r="104" spans="1:18" ht="25.5" customHeight="1">
      <c r="A104" s="7">
        <v>103</v>
      </c>
      <c r="B104" s="10" t="s">
        <v>323</v>
      </c>
      <c r="C104" s="10" t="s">
        <v>107</v>
      </c>
      <c r="D104" s="10" t="s">
        <v>324</v>
      </c>
      <c r="E104" s="10" t="s">
        <v>93</v>
      </c>
      <c r="F104" s="10">
        <v>1</v>
      </c>
      <c r="G104" s="10">
        <v>2</v>
      </c>
      <c r="H104" s="10">
        <v>3</v>
      </c>
      <c r="I104" s="10">
        <v>4</v>
      </c>
      <c r="J104" s="11">
        <f>IF(COUNTBLANK(F104:H104)&gt;0,"",F104*0.45+G104*0.35+H104*0.2)</f>
        <v>1.75</v>
      </c>
      <c r="K104" s="11" t="str">
        <f>IF(J104="","",IF(OR(E104="Ja",E104="Yes"),"Tier 0 – Foundation",INDEX('Class-Matrix'!$B$4:$B$7,MATCH(J104,'Class-Matrix'!$A$4:$A$7,1))))</f>
        <v>Tier 4 – Bronze</v>
      </c>
      <c r="L104" s="12" t="str">
        <f>IF(K104="","",VLOOKUP(K104,'Class-Matrix'!$B$12:$H$16,2,FALSE()))</f>
        <v>&lt; 24 h</v>
      </c>
      <c r="M104" s="12" t="str">
        <f>IF(K104="","",VLOOKUP(K104,'Class-Matrix'!$B$12:$H$16,3,FALSE()))</f>
        <v>&lt; 72 h / best effort</v>
      </c>
      <c r="N104" s="12" t="str">
        <f>IF(K104="","",VLOOKUP(K104,'Class-Matrix'!$B$12:$H$16,4,FALSE()))</f>
        <v>Standard backup policy (daily/weekly), manual recovery acceptable</v>
      </c>
      <c r="O104" s="10"/>
      <c r="P104" s="10"/>
      <c r="Q104" s="10"/>
      <c r="R104" s="10" t="s">
        <v>94</v>
      </c>
    </row>
    <row r="105" spans="1:18" ht="25.5" customHeight="1">
      <c r="A105" s="7">
        <v>104</v>
      </c>
      <c r="B105" s="10" t="s">
        <v>325</v>
      </c>
      <c r="C105" s="10" t="s">
        <v>89</v>
      </c>
      <c r="D105" s="10" t="s">
        <v>326</v>
      </c>
      <c r="E105" s="10" t="s">
        <v>93</v>
      </c>
      <c r="F105" s="10">
        <v>1</v>
      </c>
      <c r="G105" s="10">
        <v>3</v>
      </c>
      <c r="H105" s="10">
        <v>2</v>
      </c>
      <c r="I105" s="10">
        <v>3</v>
      </c>
      <c r="J105" s="11">
        <f>IF(COUNTBLANK(F105:H105)&gt;0,"",F105*0.45+G105*0.35+H105*0.2)</f>
        <v>1.9</v>
      </c>
      <c r="K105" s="11" t="str">
        <f>IF(J105="","",IF(OR(E105="Ja",E105="Yes"),"Tier 0 – Foundation",INDEX('Class-Matrix'!$B$4:$B$7,MATCH(J105,'Class-Matrix'!$A$4:$A$7,1))))</f>
        <v>Tier 4 – Bronze</v>
      </c>
      <c r="L105" s="12" t="str">
        <f>IF(K105="","",VLOOKUP(K105,'Class-Matrix'!$B$12:$H$16,2,FALSE()))</f>
        <v>&lt; 24 h</v>
      </c>
      <c r="M105" s="12" t="str">
        <f>IF(K105="","",VLOOKUP(K105,'Class-Matrix'!$B$12:$H$16,3,FALSE()))</f>
        <v>&lt; 72 h / best effort</v>
      </c>
      <c r="N105" s="12" t="str">
        <f>IF(K105="","",VLOOKUP(K105,'Class-Matrix'!$B$12:$H$16,4,FALSE()))</f>
        <v>Standard backup policy (daily/weekly), manual recovery acceptable</v>
      </c>
      <c r="O105" s="10"/>
      <c r="P105" s="10"/>
      <c r="Q105" s="10"/>
      <c r="R105" s="10" t="s">
        <v>94</v>
      </c>
    </row>
    <row r="106" spans="1:18" ht="25.5" customHeight="1">
      <c r="A106" s="7">
        <v>105</v>
      </c>
      <c r="B106" s="10" t="s">
        <v>327</v>
      </c>
      <c r="C106" s="10" t="s">
        <v>73</v>
      </c>
      <c r="D106" s="10" t="s">
        <v>328</v>
      </c>
      <c r="E106" s="10" t="s">
        <v>93</v>
      </c>
      <c r="F106" s="10">
        <v>3</v>
      </c>
      <c r="G106" s="10">
        <v>5</v>
      </c>
      <c r="H106" s="10">
        <v>2</v>
      </c>
      <c r="I106" s="10">
        <v>3</v>
      </c>
      <c r="J106" s="11">
        <f>IF(COUNTBLANK(F106:H106)&gt;0,"",F106*0.45+G106*0.35+H106*0.2)</f>
        <v>3.5</v>
      </c>
      <c r="K106" s="11" t="str">
        <f>IF(J106="","",IF(OR(E106="Ja",E106="Yes"),"Tier 0 – Foundation",INDEX('Class-Matrix'!$B$4:$B$7,MATCH(J106,'Class-Matrix'!$A$4:$A$7,1))))</f>
        <v>Tier 2 – Gold</v>
      </c>
      <c r="L106" s="12" t="str">
        <f>IF(K106="","",VLOOKUP(K106,'Class-Matrix'!$B$12:$H$16,2,FALSE()))</f>
        <v>&lt; 1 h</v>
      </c>
      <c r="M106" s="12" t="str">
        <f>IF(K106="","",VLOOKUP(K106,'Class-Matrix'!$B$12:$H$16,3,FALSE()))</f>
        <v>&lt; 4 h</v>
      </c>
      <c r="N106" s="12" t="str">
        <f>IF(K106="","",VLOOKUP(K106,'Class-Matrix'!$B$12:$H$16,4,FALSE()))</f>
        <v>Multiple daily backups + optional replication, semi-automated VRO runbook</v>
      </c>
      <c r="O106" s="10"/>
      <c r="P106" s="10"/>
      <c r="Q106" s="10"/>
      <c r="R106" s="10" t="s">
        <v>94</v>
      </c>
    </row>
    <row r="107" spans="1:18" ht="25.5" customHeight="1">
      <c r="A107" s="7">
        <v>106</v>
      </c>
      <c r="B107" s="10"/>
      <c r="C107" s="10"/>
      <c r="D107" s="10"/>
      <c r="E107" s="10"/>
      <c r="F107" s="10"/>
      <c r="G107" s="10"/>
      <c r="H107" s="10"/>
      <c r="I107" s="10"/>
      <c r="J107" s="11" t="str">
        <f>IF(COUNTBLANK(F107:H107)&gt;0,"",F107*0.45+G107*0.35+H107*0.2)</f>
        <v/>
      </c>
      <c r="K107" s="11" t="str">
        <f>IF(J107="","",IF(OR(E107="Ja",E107="Yes"),"Tier 0 – Foundation",INDEX('Class-Matrix'!$B$4:$B$7,MATCH(J107,'Class-Matrix'!$A$4:$A$7,1))))</f>
        <v/>
      </c>
      <c r="L107" s="12" t="str">
        <f>IF(K107="","",VLOOKUP(K107,'Class-Matrix'!$B$12:$H$16,2,FALSE()))</f>
        <v/>
      </c>
      <c r="M107" s="12" t="str">
        <f>IF(K107="","",VLOOKUP(K107,'Class-Matrix'!$B$12:$H$16,3,FALSE()))</f>
        <v/>
      </c>
      <c r="N107" s="12" t="str">
        <f>IF(K107="","",VLOOKUP(K107,'Class-Matrix'!$B$12:$H$16,4,FALSE()))</f>
        <v/>
      </c>
      <c r="O107" s="10"/>
      <c r="P107" s="10"/>
      <c r="Q107" s="10"/>
      <c r="R107" s="10"/>
    </row>
    <row r="108" spans="1:18" ht="25.5" customHeight="1">
      <c r="A108" s="7">
        <v>107</v>
      </c>
      <c r="B108" s="10"/>
      <c r="C108" s="10"/>
      <c r="D108" s="10"/>
      <c r="E108" s="10"/>
      <c r="F108" s="10"/>
      <c r="G108" s="10"/>
      <c r="H108" s="10"/>
      <c r="I108" s="10"/>
      <c r="J108" s="11" t="str">
        <f>IF(COUNTBLANK(F108:H108)&gt;0,"",F108*0.45+G108*0.35+H108*0.2)</f>
        <v/>
      </c>
      <c r="K108" s="11" t="str">
        <f>IF(J108="","",IF(OR(E108="Ja",E108="Yes"),"Tier 0 – Foundation",INDEX('Class-Matrix'!$B$4:$B$7,MATCH(J108,'Class-Matrix'!$A$4:$A$7,1))))</f>
        <v/>
      </c>
      <c r="L108" s="12" t="str">
        <f>IF(K108="","",VLOOKUP(K108,'Class-Matrix'!$B$12:$H$16,2,FALSE()))</f>
        <v/>
      </c>
      <c r="M108" s="12" t="str">
        <f>IF(K108="","",VLOOKUP(K108,'Class-Matrix'!$B$12:$H$16,3,FALSE()))</f>
        <v/>
      </c>
      <c r="N108" s="12" t="str">
        <f>IF(K108="","",VLOOKUP(K108,'Class-Matrix'!$B$12:$H$16,4,FALSE()))</f>
        <v/>
      </c>
      <c r="O108" s="10"/>
      <c r="P108" s="10"/>
      <c r="Q108" s="10"/>
      <c r="R108" s="10"/>
    </row>
    <row r="109" spans="1:18" ht="25.5" customHeight="1">
      <c r="A109" s="7">
        <v>108</v>
      </c>
      <c r="B109" s="10"/>
      <c r="C109" s="10"/>
      <c r="D109" s="10"/>
      <c r="E109" s="10"/>
      <c r="F109" s="10"/>
      <c r="G109" s="10"/>
      <c r="H109" s="10"/>
      <c r="I109" s="10"/>
      <c r="J109" s="11" t="str">
        <f>IF(COUNTBLANK(F109:H109)&gt;0,"",F109*0.45+G109*0.35+H109*0.2)</f>
        <v/>
      </c>
      <c r="K109" s="11" t="str">
        <f>IF(J109="","",IF(OR(E109="Ja",E109="Yes"),"Tier 0 – Foundation",INDEX('Class-Matrix'!$B$4:$B$7,MATCH(J109,'Class-Matrix'!$A$4:$A$7,1))))</f>
        <v/>
      </c>
      <c r="L109" s="12" t="str">
        <f>IF(K109="","",VLOOKUP(K109,'Class-Matrix'!$B$12:$H$16,2,FALSE()))</f>
        <v/>
      </c>
      <c r="M109" s="12" t="str">
        <f>IF(K109="","",VLOOKUP(K109,'Class-Matrix'!$B$12:$H$16,3,FALSE()))</f>
        <v/>
      </c>
      <c r="N109" s="12" t="str">
        <f>IF(K109="","",VLOOKUP(K109,'Class-Matrix'!$B$12:$H$16,4,FALSE()))</f>
        <v/>
      </c>
      <c r="O109" s="10"/>
      <c r="P109" s="10"/>
      <c r="Q109" s="10"/>
      <c r="R109" s="10"/>
    </row>
    <row r="110" spans="1:18" ht="25.5" customHeight="1">
      <c r="A110" s="7">
        <v>109</v>
      </c>
      <c r="B110" s="10"/>
      <c r="C110" s="10"/>
      <c r="D110" s="10"/>
      <c r="E110" s="10"/>
      <c r="F110" s="10"/>
      <c r="G110" s="10"/>
      <c r="H110" s="10"/>
      <c r="I110" s="10"/>
      <c r="J110" s="11" t="str">
        <f>IF(COUNTBLANK(F110:H110)&gt;0,"",F110*0.45+G110*0.35+H110*0.2)</f>
        <v/>
      </c>
      <c r="K110" s="11" t="str">
        <f>IF(J110="","",IF(OR(E110="Ja",E110="Yes"),"Tier 0 – Foundation",INDEX('Class-Matrix'!$B$4:$B$7,MATCH(J110,'Class-Matrix'!$A$4:$A$7,1))))</f>
        <v/>
      </c>
      <c r="L110" s="12" t="str">
        <f>IF(K110="","",VLOOKUP(K110,'Class-Matrix'!$B$12:$H$16,2,FALSE()))</f>
        <v/>
      </c>
      <c r="M110" s="12" t="str">
        <f>IF(K110="","",VLOOKUP(K110,'Class-Matrix'!$B$12:$H$16,3,FALSE()))</f>
        <v/>
      </c>
      <c r="N110" s="12" t="str">
        <f>IF(K110="","",VLOOKUP(K110,'Class-Matrix'!$B$12:$H$16,4,FALSE()))</f>
        <v/>
      </c>
      <c r="O110" s="10"/>
      <c r="P110" s="10"/>
      <c r="Q110" s="10"/>
      <c r="R110" s="10"/>
    </row>
    <row r="111" spans="1:18" ht="25.5" customHeight="1">
      <c r="A111" s="7">
        <v>110</v>
      </c>
      <c r="B111" s="10"/>
      <c r="C111" s="10"/>
      <c r="D111" s="10"/>
      <c r="E111" s="10"/>
      <c r="F111" s="10"/>
      <c r="G111" s="10"/>
      <c r="H111" s="10"/>
      <c r="I111" s="10"/>
      <c r="J111" s="11" t="str">
        <f>IF(COUNTBLANK(F111:H111)&gt;0,"",F111*0.45+G111*0.35+H111*0.2)</f>
        <v/>
      </c>
      <c r="K111" s="11" t="str">
        <f>IF(J111="","",IF(OR(E111="Ja",E111="Yes"),"Tier 0 – Foundation",INDEX('Class-Matrix'!$B$4:$B$7,MATCH(J111,'Class-Matrix'!$A$4:$A$7,1))))</f>
        <v/>
      </c>
      <c r="L111" s="12" t="str">
        <f>IF(K111="","",VLOOKUP(K111,'Class-Matrix'!$B$12:$H$16,2,FALSE()))</f>
        <v/>
      </c>
      <c r="M111" s="12" t="str">
        <f>IF(K111="","",VLOOKUP(K111,'Class-Matrix'!$B$12:$H$16,3,FALSE()))</f>
        <v/>
      </c>
      <c r="N111" s="12" t="str">
        <f>IF(K111="","",VLOOKUP(K111,'Class-Matrix'!$B$12:$H$16,4,FALSE()))</f>
        <v/>
      </c>
      <c r="O111" s="10"/>
      <c r="P111" s="10"/>
      <c r="Q111" s="10"/>
      <c r="R111" s="10"/>
    </row>
    <row r="112" spans="1:18" ht="25.5" customHeight="1">
      <c r="A112" s="7">
        <v>111</v>
      </c>
      <c r="B112" s="10"/>
      <c r="C112" s="10"/>
      <c r="D112" s="10"/>
      <c r="E112" s="10"/>
      <c r="F112" s="10"/>
      <c r="G112" s="10"/>
      <c r="H112" s="10"/>
      <c r="I112" s="10"/>
      <c r="J112" s="11" t="str">
        <f>IF(COUNTBLANK(F112:H112)&gt;0,"",F112*0.45+G112*0.35+H112*0.2)</f>
        <v/>
      </c>
      <c r="K112" s="11" t="str">
        <f>IF(J112="","",IF(OR(E112="Ja",E112="Yes"),"Tier 0 – Foundation",INDEX('Class-Matrix'!$B$4:$B$7,MATCH(J112,'Class-Matrix'!$A$4:$A$7,1))))</f>
        <v/>
      </c>
      <c r="L112" s="12" t="str">
        <f>IF(K112="","",VLOOKUP(K112,'Class-Matrix'!$B$12:$H$16,2,FALSE()))</f>
        <v/>
      </c>
      <c r="M112" s="12" t="str">
        <f>IF(K112="","",VLOOKUP(K112,'Class-Matrix'!$B$12:$H$16,3,FALSE()))</f>
        <v/>
      </c>
      <c r="N112" s="12" t="str">
        <f>IF(K112="","",VLOOKUP(K112,'Class-Matrix'!$B$12:$H$16,4,FALSE()))</f>
        <v/>
      </c>
      <c r="O112" s="10"/>
      <c r="P112" s="10"/>
      <c r="Q112" s="10"/>
      <c r="R112" s="10"/>
    </row>
    <row r="113" spans="1:18" ht="25.5" customHeight="1">
      <c r="A113" s="7">
        <v>112</v>
      </c>
      <c r="B113" s="10"/>
      <c r="C113" s="10"/>
      <c r="D113" s="10"/>
      <c r="E113" s="10"/>
      <c r="F113" s="10"/>
      <c r="G113" s="10"/>
      <c r="H113" s="10"/>
      <c r="I113" s="10"/>
      <c r="J113" s="11" t="str">
        <f>IF(COUNTBLANK(F113:H113)&gt;0,"",F113*0.45+G113*0.35+H113*0.2)</f>
        <v/>
      </c>
      <c r="K113" s="11" t="str">
        <f>IF(J113="","",IF(OR(E113="Ja",E113="Yes"),"Tier 0 – Foundation",INDEX('Class-Matrix'!$B$4:$B$7,MATCH(J113,'Class-Matrix'!$A$4:$A$7,1))))</f>
        <v/>
      </c>
      <c r="L113" s="12" t="str">
        <f>IF(K113="","",VLOOKUP(K113,'Class-Matrix'!$B$12:$H$16,2,FALSE()))</f>
        <v/>
      </c>
      <c r="M113" s="12" t="str">
        <f>IF(K113="","",VLOOKUP(K113,'Class-Matrix'!$B$12:$H$16,3,FALSE()))</f>
        <v/>
      </c>
      <c r="N113" s="12" t="str">
        <f>IF(K113="","",VLOOKUP(K113,'Class-Matrix'!$B$12:$H$16,4,FALSE()))</f>
        <v/>
      </c>
      <c r="O113" s="10"/>
      <c r="P113" s="10"/>
      <c r="Q113" s="10"/>
      <c r="R113" s="10"/>
    </row>
    <row r="114" spans="1:18" ht="25.5" customHeight="1">
      <c r="A114" s="7">
        <v>113</v>
      </c>
      <c r="B114" s="10"/>
      <c r="C114" s="10"/>
      <c r="D114" s="10"/>
      <c r="E114" s="10"/>
      <c r="F114" s="10"/>
      <c r="G114" s="10"/>
      <c r="H114" s="10"/>
      <c r="I114" s="10"/>
      <c r="J114" s="11" t="str">
        <f>IF(COUNTBLANK(F114:H114)&gt;0,"",F114*0.45+G114*0.35+H114*0.2)</f>
        <v/>
      </c>
      <c r="K114" s="11" t="str">
        <f>IF(J114="","",IF(OR(E114="Ja",E114="Yes"),"Tier 0 – Foundation",INDEX('Class-Matrix'!$B$4:$B$7,MATCH(J114,'Class-Matrix'!$A$4:$A$7,1))))</f>
        <v/>
      </c>
      <c r="L114" s="12" t="str">
        <f>IF(K114="","",VLOOKUP(K114,'Class-Matrix'!$B$12:$H$16,2,FALSE()))</f>
        <v/>
      </c>
      <c r="M114" s="12" t="str">
        <f>IF(K114="","",VLOOKUP(K114,'Class-Matrix'!$B$12:$H$16,3,FALSE()))</f>
        <v/>
      </c>
      <c r="N114" s="12" t="str">
        <f>IF(K114="","",VLOOKUP(K114,'Class-Matrix'!$B$12:$H$16,4,FALSE()))</f>
        <v/>
      </c>
      <c r="O114" s="10"/>
      <c r="P114" s="10"/>
      <c r="Q114" s="10"/>
      <c r="R114" s="10"/>
    </row>
    <row r="115" spans="1:18" ht="25.5" customHeight="1">
      <c r="A115" s="7">
        <v>114</v>
      </c>
      <c r="B115" s="10"/>
      <c r="C115" s="10"/>
      <c r="D115" s="10"/>
      <c r="E115" s="10"/>
      <c r="F115" s="10"/>
      <c r="G115" s="10"/>
      <c r="H115" s="10"/>
      <c r="I115" s="10"/>
      <c r="J115" s="11" t="str">
        <f>IF(COUNTBLANK(F115:H115)&gt;0,"",F115*0.45+G115*0.35+H115*0.2)</f>
        <v/>
      </c>
      <c r="K115" s="11" t="str">
        <f>IF(J115="","",IF(OR(E115="Ja",E115="Yes"),"Tier 0 – Foundation",INDEX('Class-Matrix'!$B$4:$B$7,MATCH(J115,'Class-Matrix'!$A$4:$A$7,1))))</f>
        <v/>
      </c>
      <c r="L115" s="12" t="str">
        <f>IF(K115="","",VLOOKUP(K115,'Class-Matrix'!$B$12:$H$16,2,FALSE()))</f>
        <v/>
      </c>
      <c r="M115" s="12" t="str">
        <f>IF(K115="","",VLOOKUP(K115,'Class-Matrix'!$B$12:$H$16,3,FALSE()))</f>
        <v/>
      </c>
      <c r="N115" s="12" t="str">
        <f>IF(K115="","",VLOOKUP(K115,'Class-Matrix'!$B$12:$H$16,4,FALSE()))</f>
        <v/>
      </c>
      <c r="O115" s="10"/>
      <c r="P115" s="10"/>
      <c r="Q115" s="10"/>
      <c r="R115" s="10"/>
    </row>
    <row r="116" spans="1:18" ht="25.5" customHeight="1">
      <c r="A116" s="7">
        <v>115</v>
      </c>
      <c r="B116" s="10"/>
      <c r="C116" s="10"/>
      <c r="D116" s="10"/>
      <c r="E116" s="10"/>
      <c r="F116" s="10"/>
      <c r="G116" s="10"/>
      <c r="H116" s="10"/>
      <c r="I116" s="10"/>
      <c r="J116" s="11" t="str">
        <f>IF(COUNTBLANK(F116:H116)&gt;0,"",F116*0.45+G116*0.35+H116*0.2)</f>
        <v/>
      </c>
      <c r="K116" s="11" t="str">
        <f>IF(J116="","",IF(OR(E116="Ja",E116="Yes"),"Tier 0 – Foundation",INDEX('Class-Matrix'!$B$4:$B$7,MATCH(J116,'Class-Matrix'!$A$4:$A$7,1))))</f>
        <v/>
      </c>
      <c r="L116" s="12" t="str">
        <f>IF(K116="","",VLOOKUP(K116,'Class-Matrix'!$B$12:$H$16,2,FALSE()))</f>
        <v/>
      </c>
      <c r="M116" s="12" t="str">
        <f>IF(K116="","",VLOOKUP(K116,'Class-Matrix'!$B$12:$H$16,3,FALSE()))</f>
        <v/>
      </c>
      <c r="N116" s="12" t="str">
        <f>IF(K116="","",VLOOKUP(K116,'Class-Matrix'!$B$12:$H$16,4,FALSE()))</f>
        <v/>
      </c>
      <c r="O116" s="10"/>
      <c r="P116" s="10"/>
      <c r="Q116" s="10"/>
      <c r="R116" s="10"/>
    </row>
  </sheetData>
  <autoFilter ref="A1:R116" xr:uid="{00000000-0009-0000-0000-000003000000}"/>
  <conditionalFormatting sqref="K2:K116">
    <cfRule type="cellIs" dxfId="4" priority="2" operator="equal">
      <formula>"Tier 0 – Foundation"</formula>
    </cfRule>
    <cfRule type="cellIs" dxfId="3" priority="3" operator="equal">
      <formula>"Platinum"</formula>
    </cfRule>
    <cfRule type="cellIs" dxfId="2" priority="4" operator="equal">
      <formula>"Gold"</formula>
    </cfRule>
    <cfRule type="cellIs" dxfId="1" priority="5" operator="equal">
      <formula>"Silver"</formula>
    </cfRule>
    <cfRule type="cellIs" dxfId="0" priority="6" operator="equal">
      <formula>"Bronze"</formula>
    </cfRule>
  </conditionalFormatting>
  <dataValidations count="2">
    <dataValidation type="list" allowBlank="1" sqref="E2:E116" xr:uid="{00000000-0002-0000-0300-000000000000}">
      <formula1>"Yes,No"</formula1>
      <formula2>0</formula2>
    </dataValidation>
    <dataValidation type="list" allowBlank="1" sqref="F2:I116" xr:uid="{00000000-0002-0000-0300-000001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showGridLines="0" zoomScaleNormal="100" workbookViewId="0">
      <selection activeCell="C31" sqref="C31"/>
    </sheetView>
  </sheetViews>
  <sheetFormatPr defaultColWidth="8.7109375" defaultRowHeight="15"/>
  <cols>
    <col min="1" max="1" width="24" customWidth="1"/>
    <col min="2" max="2" width="18" customWidth="1"/>
  </cols>
  <sheetData>
    <row r="1" spans="1:6" ht="24" customHeight="1">
      <c r="A1" s="15" t="s">
        <v>329</v>
      </c>
      <c r="B1" s="15"/>
      <c r="C1" s="15"/>
      <c r="D1" s="15"/>
    </row>
    <row r="3" spans="1:6" ht="15" customHeight="1">
      <c r="A3" s="6" t="s">
        <v>66</v>
      </c>
      <c r="B3" s="6" t="s">
        <v>330</v>
      </c>
    </row>
    <row r="4" spans="1:6" ht="15" customHeight="1">
      <c r="A4" s="7" t="s">
        <v>34</v>
      </c>
      <c r="B4" s="7">
        <f>COUNTIF('Workload-Register'!$K$2:$K$116,A4)</f>
        <v>6</v>
      </c>
    </row>
    <row r="5" spans="1:6" ht="15" customHeight="1">
      <c r="A5" s="7" t="s">
        <v>25</v>
      </c>
      <c r="B5" s="7">
        <f>COUNTIF('Workload-Register'!$K$2:$K$116,A5)</f>
        <v>10</v>
      </c>
    </row>
    <row r="6" spans="1:6" ht="15" customHeight="1">
      <c r="A6" s="7" t="s">
        <v>24</v>
      </c>
      <c r="B6" s="7">
        <f>COUNTIF('Workload-Register'!$K$2:$K$116,A6)</f>
        <v>21</v>
      </c>
    </row>
    <row r="7" spans="1:6" ht="15" customHeight="1">
      <c r="A7" s="7" t="s">
        <v>23</v>
      </c>
      <c r="B7" s="7">
        <f>COUNTIF('Workload-Register'!$K$2:$K$116,A7)</f>
        <v>30</v>
      </c>
    </row>
    <row r="8" spans="1:6" ht="15" customHeight="1">
      <c r="A8" s="7" t="s">
        <v>22</v>
      </c>
      <c r="B8" s="7">
        <f>COUNTIF('Workload-Register'!$K$2:$K$116,A8)</f>
        <v>38</v>
      </c>
    </row>
    <row r="9" spans="1:6" ht="15" customHeight="1">
      <c r="A9" s="13" t="s">
        <v>331</v>
      </c>
      <c r="B9" s="13">
        <f>COUNTA('Workload-Register'!$B$2:$B$116)</f>
        <v>105</v>
      </c>
    </row>
    <row r="13" spans="1:6" ht="30" customHeight="1">
      <c r="A13" s="2" t="s">
        <v>332</v>
      </c>
      <c r="B13" s="2"/>
      <c r="C13" s="2"/>
      <c r="D13" s="2"/>
      <c r="E13" s="2"/>
      <c r="F13" s="2"/>
    </row>
  </sheetData>
  <mergeCells count="2">
    <mergeCell ref="A1:D1"/>
    <mergeCell ref="A13:F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3851B05661E4B49844D9DF2869A3A3A" ma:contentTypeVersion="11" ma:contentTypeDescription="Ein neues Dokument erstellen." ma:contentTypeScope="" ma:versionID="9bc620381f5bda3ae4bd9593a3ed68ff">
  <xsd:schema xmlns:xsd="http://www.w3.org/2001/XMLSchema" xmlns:xs="http://www.w3.org/2001/XMLSchema" xmlns:p="http://schemas.microsoft.com/office/2006/metadata/properties" xmlns:ns2="936a6076-86f8-4eb3-808f-eb39cffaedd2" xmlns:ns3="78d3ede7-c68f-4375-bfef-fe029ddadc05" targetNamespace="http://schemas.microsoft.com/office/2006/metadata/properties" ma:root="true" ma:fieldsID="c8fbae53674381f70932600483f2de3b" ns2:_="" ns3:_="">
    <xsd:import namespace="936a6076-86f8-4eb3-808f-eb39cffaedd2"/>
    <xsd:import namespace="78d3ede7-c68f-4375-bfef-fe029ddadc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a6076-86f8-4eb3-808f-eb39cffaed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42f7ecf7-3daf-40a4-b73e-fe1cc035c9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d3ede7-c68f-4375-bfef-fe029ddadc0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d4d8b37-79e1-48ab-a52d-6766ad9f68da}" ma:internalName="TaxCatchAll" ma:showField="CatchAllData" ma:web="78d3ede7-c68f-4375-bfef-fe029ddadc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d3ede7-c68f-4375-bfef-fe029ddadc05" xsi:nil="true"/>
    <lcf76f155ced4ddcb4097134ff3c332f xmlns="936a6076-86f8-4eb3-808f-eb39cffaed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A62BAF-CBA6-48DC-B901-085FB004329B}"/>
</file>

<file path=customXml/itemProps2.xml><?xml version="1.0" encoding="utf-8"?>
<ds:datastoreItem xmlns:ds="http://schemas.openxmlformats.org/officeDocument/2006/customXml" ds:itemID="{D0E2ECA5-7179-4873-A3EB-D126DBE6600B}"/>
</file>

<file path=customXml/itemProps3.xml><?xml version="1.0" encoding="utf-8"?>
<ds:datastoreItem xmlns:ds="http://schemas.openxmlformats.org/officeDocument/2006/customXml" ds:itemID="{29AD4288-BB34-4E00-8F49-EBE249432C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Sebastian Fulep</cp:lastModifiedBy>
  <cp:revision>2</cp:revision>
  <dcterms:created xsi:type="dcterms:W3CDTF">2026-07-15T10:25:02Z</dcterms:created>
  <dcterms:modified xsi:type="dcterms:W3CDTF">2026-08-04T11:33:10Z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0x01010063851B05661E4B49844D9DF2869A3A3A</vt:lpwstr>
  </property>
  <property fmtid="{D5CDD505-2E9C-101B-9397-08002B2CF9AE}" pid="3" name="MediaServiceImageTags">
    <vt:lpwstr/>
  </property>
</Properties>
</file>