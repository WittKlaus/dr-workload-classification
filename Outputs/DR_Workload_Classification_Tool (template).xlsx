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veeamsoftwarecorp-my.sharepoint.com/personal/k_wittenberg_veeam_com/Documents/Claude-Workspace/DR/"/>
    </mc:Choice>
  </mc:AlternateContent>
  <xr:revisionPtr revIDLastSave="4" documentId="11_ECDF490BF1FC95183700B4145C86A3B131AE8267" xr6:coauthVersionLast="47" xr6:coauthVersionMax="47" xr10:uidLastSave="{01105350-9D73-4024-A469-4C2F12A8C3E8}"/>
  <bookViews>
    <workbookView xWindow="-120" yWindow="-120" windowWidth="38640" windowHeight="21120" tabRatio="500" activeTab="3" xr2:uid="{00000000-000D-0000-FFFF-FFFF00000000}"/>
  </bookViews>
  <sheets>
    <sheet name="Instructions" sheetId="1" r:id="rId1"/>
    <sheet name="Import" sheetId="2" r:id="rId2"/>
    <sheet name="Class-Matrix" sheetId="3" r:id="rId3"/>
    <sheet name="Workload-Register" sheetId="4" r:id="rId4"/>
    <sheet name="Dashboard" sheetId="5" r:id="rId5"/>
  </sheets>
  <definedNames>
    <definedName name="_xlnm._FilterDatabase" localSheetId="3" hidden="1">'Workload-Register'!$A$1:$R$61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5" l="1"/>
  <c r="J61" i="4"/>
  <c r="K61" i="4" s="1"/>
  <c r="J60" i="4"/>
  <c r="K60" i="4" s="1"/>
  <c r="J59" i="4"/>
  <c r="K59" i="4" s="1"/>
  <c r="J58" i="4"/>
  <c r="K58" i="4" s="1"/>
  <c r="J57" i="4"/>
  <c r="K57" i="4" s="1"/>
  <c r="J56" i="4"/>
  <c r="K56" i="4" s="1"/>
  <c r="J55" i="4"/>
  <c r="K55" i="4" s="1"/>
  <c r="J54" i="4"/>
  <c r="K54" i="4" s="1"/>
  <c r="J53" i="4"/>
  <c r="K53" i="4" s="1"/>
  <c r="J52" i="4"/>
  <c r="K52" i="4" s="1"/>
  <c r="J51" i="4"/>
  <c r="K51" i="4" s="1"/>
  <c r="J50" i="4"/>
  <c r="K50" i="4" s="1"/>
  <c r="J49" i="4"/>
  <c r="K49" i="4" s="1"/>
  <c r="J48" i="4"/>
  <c r="K48" i="4" s="1"/>
  <c r="J47" i="4"/>
  <c r="K47" i="4" s="1"/>
  <c r="J46" i="4"/>
  <c r="K46" i="4" s="1"/>
  <c r="J45" i="4"/>
  <c r="K45" i="4" s="1"/>
  <c r="J44" i="4"/>
  <c r="K44" i="4" s="1"/>
  <c r="J43" i="4"/>
  <c r="K43" i="4" s="1"/>
  <c r="J42" i="4"/>
  <c r="K42" i="4" s="1"/>
  <c r="J41" i="4"/>
  <c r="K41" i="4" s="1"/>
  <c r="J40" i="4"/>
  <c r="K40" i="4" s="1"/>
  <c r="J39" i="4"/>
  <c r="K39" i="4" s="1"/>
  <c r="J38" i="4"/>
  <c r="K38" i="4" s="1"/>
  <c r="J37" i="4"/>
  <c r="K37" i="4" s="1"/>
  <c r="J36" i="4"/>
  <c r="K36" i="4" s="1"/>
  <c r="J35" i="4"/>
  <c r="K35" i="4" s="1"/>
  <c r="J34" i="4"/>
  <c r="K34" i="4" s="1"/>
  <c r="J33" i="4"/>
  <c r="K33" i="4" s="1"/>
  <c r="J32" i="4"/>
  <c r="K32" i="4" s="1"/>
  <c r="J31" i="4"/>
  <c r="K31" i="4" s="1"/>
  <c r="J30" i="4"/>
  <c r="K30" i="4" s="1"/>
  <c r="J29" i="4"/>
  <c r="K29" i="4" s="1"/>
  <c r="J28" i="4"/>
  <c r="K28" i="4" s="1"/>
  <c r="J27" i="4"/>
  <c r="K27" i="4" s="1"/>
  <c r="J26" i="4"/>
  <c r="K26" i="4" s="1"/>
  <c r="J25" i="4"/>
  <c r="K25" i="4" s="1"/>
  <c r="J24" i="4"/>
  <c r="K24" i="4" s="1"/>
  <c r="J23" i="4"/>
  <c r="K23" i="4" s="1"/>
  <c r="J22" i="4"/>
  <c r="K22" i="4" s="1"/>
  <c r="J21" i="4"/>
  <c r="K21" i="4" s="1"/>
  <c r="J20" i="4"/>
  <c r="K20" i="4" s="1"/>
  <c r="J19" i="4"/>
  <c r="K19" i="4" s="1"/>
  <c r="J18" i="4"/>
  <c r="K18" i="4" s="1"/>
  <c r="J17" i="4"/>
  <c r="K17" i="4" s="1"/>
  <c r="J16" i="4"/>
  <c r="K16" i="4" s="1"/>
  <c r="J15" i="4"/>
  <c r="K15" i="4" s="1"/>
  <c r="J14" i="4"/>
  <c r="K14" i="4" s="1"/>
  <c r="J13" i="4"/>
  <c r="K13" i="4" s="1"/>
  <c r="J12" i="4"/>
  <c r="K12" i="4" s="1"/>
  <c r="J11" i="4"/>
  <c r="K11" i="4" s="1"/>
  <c r="J10" i="4"/>
  <c r="K10" i="4" s="1"/>
  <c r="J9" i="4"/>
  <c r="K9" i="4" s="1"/>
  <c r="J8" i="4"/>
  <c r="K8" i="4" s="1"/>
  <c r="J7" i="4"/>
  <c r="K7" i="4" s="1"/>
  <c r="J6" i="4"/>
  <c r="K6" i="4" s="1"/>
  <c r="J5" i="4"/>
  <c r="K5" i="4" s="1"/>
  <c r="J4" i="4"/>
  <c r="K4" i="4" s="1"/>
  <c r="J3" i="4"/>
  <c r="K3" i="4" s="1"/>
  <c r="J2" i="4"/>
  <c r="K2" i="4" s="1"/>
  <c r="B8" i="5" l="1"/>
  <c r="B7" i="5"/>
  <c r="B6" i="5"/>
  <c r="B5" i="5"/>
  <c r="B4" i="5"/>
  <c r="N2" i="4"/>
  <c r="M2" i="4"/>
  <c r="L2" i="4"/>
  <c r="N3" i="4"/>
  <c r="M3" i="4"/>
  <c r="L3" i="4"/>
  <c r="N4" i="4"/>
  <c r="M4" i="4"/>
  <c r="L4" i="4"/>
  <c r="N5" i="4"/>
  <c r="M5" i="4"/>
  <c r="L5" i="4"/>
  <c r="N6" i="4"/>
  <c r="M6" i="4"/>
  <c r="L6" i="4"/>
  <c r="N7" i="4"/>
  <c r="M7" i="4"/>
  <c r="L7" i="4"/>
  <c r="N8" i="4"/>
  <c r="M8" i="4"/>
  <c r="L8" i="4"/>
  <c r="N9" i="4"/>
  <c r="M9" i="4"/>
  <c r="L9" i="4"/>
  <c r="N10" i="4"/>
  <c r="M10" i="4"/>
  <c r="L10" i="4"/>
  <c r="N11" i="4"/>
  <c r="M11" i="4"/>
  <c r="L11" i="4"/>
  <c r="N12" i="4"/>
  <c r="M12" i="4"/>
  <c r="L12" i="4"/>
  <c r="N13" i="4"/>
  <c r="M13" i="4"/>
  <c r="L13" i="4"/>
  <c r="N14" i="4"/>
  <c r="M14" i="4"/>
  <c r="L14" i="4"/>
  <c r="N15" i="4"/>
  <c r="M15" i="4"/>
  <c r="L15" i="4"/>
  <c r="N16" i="4"/>
  <c r="M16" i="4"/>
  <c r="L16" i="4"/>
  <c r="N17" i="4"/>
  <c r="M17" i="4"/>
  <c r="L17" i="4"/>
  <c r="N18" i="4"/>
  <c r="M18" i="4"/>
  <c r="L18" i="4"/>
  <c r="N19" i="4"/>
  <c r="M19" i="4"/>
  <c r="L19" i="4"/>
  <c r="N20" i="4"/>
  <c r="M20" i="4"/>
  <c r="L20" i="4"/>
  <c r="N21" i="4"/>
  <c r="M21" i="4"/>
  <c r="L21" i="4"/>
  <c r="N22" i="4"/>
  <c r="M22" i="4"/>
  <c r="L22" i="4"/>
  <c r="N23" i="4"/>
  <c r="M23" i="4"/>
  <c r="L23" i="4"/>
  <c r="N24" i="4"/>
  <c r="M24" i="4"/>
  <c r="L24" i="4"/>
  <c r="N25" i="4"/>
  <c r="M25" i="4"/>
  <c r="L25" i="4"/>
  <c r="N26" i="4"/>
  <c r="M26" i="4"/>
  <c r="L26" i="4"/>
  <c r="N27" i="4"/>
  <c r="M27" i="4"/>
  <c r="L27" i="4"/>
  <c r="N28" i="4"/>
  <c r="M28" i="4"/>
  <c r="L28" i="4"/>
  <c r="N29" i="4"/>
  <c r="M29" i="4"/>
  <c r="L29" i="4"/>
  <c r="N30" i="4"/>
  <c r="M30" i="4"/>
  <c r="L30" i="4"/>
  <c r="N31" i="4"/>
  <c r="M31" i="4"/>
  <c r="L31" i="4"/>
  <c r="N32" i="4"/>
  <c r="M32" i="4"/>
  <c r="L32" i="4"/>
  <c r="N33" i="4"/>
  <c r="M33" i="4"/>
  <c r="L33" i="4"/>
  <c r="N34" i="4"/>
  <c r="M34" i="4"/>
  <c r="L34" i="4"/>
  <c r="N35" i="4"/>
  <c r="M35" i="4"/>
  <c r="L35" i="4"/>
  <c r="N36" i="4"/>
  <c r="M36" i="4"/>
  <c r="L36" i="4"/>
  <c r="N37" i="4"/>
  <c r="M37" i="4"/>
  <c r="L37" i="4"/>
  <c r="N38" i="4"/>
  <c r="M38" i="4"/>
  <c r="L38" i="4"/>
  <c r="N39" i="4"/>
  <c r="M39" i="4"/>
  <c r="L39" i="4"/>
  <c r="N40" i="4"/>
  <c r="M40" i="4"/>
  <c r="L40" i="4"/>
  <c r="N41" i="4"/>
  <c r="M41" i="4"/>
  <c r="L41" i="4"/>
  <c r="N42" i="4"/>
  <c r="M42" i="4"/>
  <c r="L42" i="4"/>
  <c r="N43" i="4"/>
  <c r="M43" i="4"/>
  <c r="L43" i="4"/>
  <c r="N44" i="4"/>
  <c r="M44" i="4"/>
  <c r="L44" i="4"/>
  <c r="N45" i="4"/>
  <c r="M45" i="4"/>
  <c r="L45" i="4"/>
  <c r="N46" i="4"/>
  <c r="M46" i="4"/>
  <c r="L46" i="4"/>
  <c r="N47" i="4"/>
  <c r="M47" i="4"/>
  <c r="L47" i="4"/>
  <c r="N48" i="4"/>
  <c r="M48" i="4"/>
  <c r="L48" i="4"/>
  <c r="N49" i="4"/>
  <c r="M49" i="4"/>
  <c r="L49" i="4"/>
  <c r="N50" i="4"/>
  <c r="M50" i="4"/>
  <c r="L50" i="4"/>
  <c r="N51" i="4"/>
  <c r="M51" i="4"/>
  <c r="L51" i="4"/>
  <c r="N52" i="4"/>
  <c r="M52" i="4"/>
  <c r="L52" i="4"/>
  <c r="N53" i="4"/>
  <c r="M53" i="4"/>
  <c r="L53" i="4"/>
  <c r="N54" i="4"/>
  <c r="M54" i="4"/>
  <c r="L54" i="4"/>
  <c r="N55" i="4"/>
  <c r="M55" i="4"/>
  <c r="L55" i="4"/>
  <c r="N56" i="4"/>
  <c r="M56" i="4"/>
  <c r="L56" i="4"/>
  <c r="N57" i="4"/>
  <c r="M57" i="4"/>
  <c r="L57" i="4"/>
  <c r="N58" i="4"/>
  <c r="M58" i="4"/>
  <c r="L58" i="4"/>
  <c r="N59" i="4"/>
  <c r="M59" i="4"/>
  <c r="L59" i="4"/>
  <c r="N60" i="4"/>
  <c r="M60" i="4"/>
  <c r="L60" i="4"/>
  <c r="N61" i="4"/>
  <c r="M61" i="4"/>
  <c r="L61" i="4"/>
</calcChain>
</file>

<file path=xl/sharedStrings.xml><?xml version="1.0" encoding="utf-8"?>
<sst xmlns="http://schemas.openxmlformats.org/spreadsheetml/2006/main" count="131" uniqueCount="115">
  <si>
    <t>DR Workload Classification – Instructions &amp; Methodology (v3)</t>
  </si>
  <si>
    <t>Purpose</t>
  </si>
  <si>
    <t>This workbook helps Veeam TAMs conduct a structured workload classification for a disaster recovery concept together with the customer. It is the standalone, fully manual companion to DR_Workload_Classification.html — use it when no RVTools/inventory export is available or when the customer prefers to work in a spreadsheet. The browser tool does not require this file; conversely, a completed workbook can be uploaded there for visualization.</t>
  </si>
  <si>
    <t>Process</t>
  </si>
  <si>
    <t>1.  Import: Optionally paste the customer's raw workload list (from any source) into "Import" as a working reference, or enter workloads directly in the Workload-Register.</t>
  </si>
  <si>
    <t>2.  Workload-Register: Enter owner, description and the three assessment criteria Business Impact / Regulatory / Data Sensitivity (dropdowns 1–5) — protection class, target RPO/RTO and configuration recommendation are calculated automatically. Recovery Complexity (1–5) is documented alongside but never affects the score.</t>
  </si>
  <si>
    <t>3.  Enter dependencies: In the "Depends on (workload IDs)" column, enter the # IDs of the workloads a workload depends on for recovery (e.g. web server ID 12 depends on database ID 7 -&gt; enter "7" for ID 12; multiple IDs comma-separated, e.g. "7,3").</t>
  </si>
  <si>
    <t>4.  Dashboard: Review the distribution of workloads across the protection classes.</t>
  </si>
  <si>
    <t>5.  Visualize (optional): Upload the completed workbook to "DR_Workload_Classification.html" (tab ② View classification, view-only) for class distribution, dependency network and automatic findings.</t>
  </si>
  <si>
    <t>6.  Use the results: Basis for criticality analysis, recovery strategy and VRO runbook configuration.</t>
  </si>
  <si>
    <t>Important Note</t>
  </si>
  <si>
    <t>The calculated protection class is a structured proposal, not an automatic truth. Criticality assessment remains a professional judgment of the system owners and the customer.</t>
  </si>
  <si>
    <t>Assessment Criteria (Weighting)</t>
  </si>
  <si>
    <t>Criterion</t>
  </si>
  <si>
    <t>Weight</t>
  </si>
  <si>
    <t>1 = low</t>
  </si>
  <si>
    <t>3 = medium</t>
  </si>
  <si>
    <t>5 = high</t>
  </si>
  <si>
    <t>Business Impact (operational/revenue impact in case of outage)</t>
  </si>
  <si>
    <t>45%</t>
  </si>
  <si>
    <t>Barely noticeable</t>
  </si>
  <si>
    <t>Noticeable impairment</t>
  </si>
  <si>
    <t>Complete business standstill</t>
  </si>
  <si>
    <t>Regulatory Exposure (DORA, NIS2, ISO 27001, KRITIS, PII)</t>
  </si>
  <si>
    <t>35%</t>
  </si>
  <si>
    <t>No regulation affected</t>
  </si>
  <si>
    <t>Indirectly affected</t>
  </si>
  <si>
    <t>Core system directly subject to audit</t>
  </si>
  <si>
    <t>Data Sensitivity / Value</t>
  </si>
  <si>
    <t>20%</t>
  </si>
  <si>
    <t>Public / non-critical</t>
  </si>
  <si>
    <t>Internal</t>
  </si>
  <si>
    <t>Highly sensitive (PII, financial data, trade secrets)</t>
  </si>
  <si>
    <t>Recovery Complexity (dependencies, recovery effort) — separate assessment, see note below</t>
  </si>
  <si>
    <t>– (no score weight)</t>
  </si>
  <si>
    <t>Simple / standalone</t>
  </si>
  <si>
    <t>Multiple dependencies</t>
  </si>
  <si>
    <t>Highly complex, many dependencies</t>
  </si>
  <si>
    <t>Total score = Business Impact × 0.45 + Regulatory × 0.35 + Data Sensitivity × 0.20  (value range 1.0–5.0)</t>
  </si>
  <si>
    <t>Recovery complexity is deliberately NOT included in the score: it describes how technically demanding recovery is — not how critical the workload is to the business. A workload should not receive a weaker target class merely because it is hard to recover; instead, complexity is a separate factor for effort/risk assessment and for prioritizing implementation ("what resources/concept do we need first"), not for the target itself.</t>
  </si>
  <si>
    <t>Special Case: Tier 0 (Foundation)</t>
  </si>
  <si>
    <t>Systems that other workloads depend on (AD, DNS, PKI, backup infrastructure, core network) are classified as "Tier 0 – Foundation" regardless of the score by setting "Foundational Dependency" to "Yes".</t>
  </si>
  <si>
    <t>Note: "Tier" here refers to workload protection classes (Tier 0–4), not to the Uptime Institute tier classification (Tier I–IV) for physical data center infrastructure.</t>
  </si>
  <si>
    <t>Dependencies between Workloads</t>
  </si>
  <si>
    <t>The "Depends on (workload IDs)" column records which other workloads must be restored first. The Excel tool does not check this automatically — that is what DR_Workload_Classification.html is for: it displays the dependency network graphically and flags cases where a workload depends on a workload with a weaker classification (the weakest link determines the actually achievable RTO). The # IDs are bound to the row — check dependency entries after row changes.</t>
  </si>
  <si>
    <t>Legend</t>
  </si>
  <si>
    <t>Yellow-highlighted cells = the TAM/customer enters values here. All other cells contain formulas and should not be overwritten.</t>
  </si>
  <si>
    <t>Created by Klaus Wittenberg, Veeam Technical Account Management (Professional Services). Version 3: recovery complexity as a separate modifier — documentation only, not part of the score.</t>
  </si>
  <si>
    <t>Import – Workload Raw List</t>
  </si>
  <si>
    <t>Paste raw data from an export here (RVTools/vCenter, Veeam ONE Inventory Report, ServiceNow/CMDB export). Then transfer the workload names to "Workload-Register" and assess them there.</t>
  </si>
  <si>
    <t>Workload Name</t>
  </si>
  <si>
    <t>Type (VM/Physical/DB/SaaS/Cloud)</t>
  </si>
  <si>
    <t>Operating System</t>
  </si>
  <si>
    <t>Location/Cluster</t>
  </si>
  <si>
    <t>Size (GiB)</t>
  </si>
  <si>
    <t>Responsible Team</t>
  </si>
  <si>
    <t>Source / Note</t>
  </si>
  <si>
    <t>Protection Class Matrix – Reference Table</t>
  </si>
  <si>
    <t>Note: "Tier" here refers exclusively to workload protection classes (this tool) and has nothing to do with the Uptime Institute tier classification (Tier I–IV) for physical data center infrastructure.</t>
  </si>
  <si>
    <t>Score (lower bound)</t>
  </si>
  <si>
    <t>Class (for formula)</t>
  </si>
  <si>
    <t>Tier 4 – Bronze</t>
  </si>
  <si>
    <t>Tier 3 – Silver</t>
  </si>
  <si>
    <t>Tier 2 – Gold</t>
  </si>
  <si>
    <t>Tier 1 – Platinum</t>
  </si>
  <si>
    <t>Note: This threshold table (columns A/B) is used by the formulas in the Workload-Register – please do not modify. The descriptive matrix below serves as a reference. Recovery complexity is deliberately NOT included in the score (see the Anleitung sheet) — it is a separate effort/risk assessment.</t>
  </si>
  <si>
    <t>Class</t>
  </si>
  <si>
    <t>Target RPO</t>
  </si>
  <si>
    <t>Target RTO</t>
  </si>
  <si>
    <t>Recommended Veeam / VRO Configuration</t>
  </si>
  <si>
    <t>Typical Systems (Examples)</t>
  </si>
  <si>
    <t>Test Frequency</t>
  </si>
  <si>
    <t>Rank (0=strongest class)</t>
  </si>
  <si>
    <t>Tier 0 – Foundation</t>
  </si>
  <si>
    <t>≈ 0 (continuous replication)</t>
  </si>
  <si>
    <t>&lt; 30 min</t>
  </si>
  <si>
    <t>CDP / continuous replication, immutability on-premises + cloud, highest VRO runbook priority</t>
  </si>
  <si>
    <t>Active Directory, DNS, PKI, the backup infrastructure itself, core network</t>
  </si>
  <si>
    <t>At every DR test</t>
  </si>
  <si>
    <t>&lt; 15 min</t>
  </si>
  <si>
    <t>&lt; 1 h</t>
  </si>
  <si>
    <t>Near-CDP replication + immutable backup, automated VRO orchestration plan with failover</t>
  </si>
  <si>
    <t>Core transaction systems, systems subject to DORA/NIS2, ERP core</t>
  </si>
  <si>
    <t>Monthly</t>
  </si>
  <si>
    <t>&lt; 4 h</t>
  </si>
  <si>
    <t>Multiple daily backups + optional replication, semi-automated VRO runbook</t>
  </si>
  <si>
    <t>Important business applications, collaboration platforms</t>
  </si>
  <si>
    <t>Quarterly</t>
  </si>
  <si>
    <t>&lt; 24 h</t>
  </si>
  <si>
    <t>Daily backup, immutability optional, standardized VRO runbook</t>
  </si>
  <si>
    <t>Internal line-of-business applications</t>
  </si>
  <si>
    <t>Semi-annually</t>
  </si>
  <si>
    <t>&lt; 72 h / best effort</t>
  </si>
  <si>
    <t>Standard backup policy (daily/weekly), manual recovery acceptable</t>
  </si>
  <si>
    <t>Archive/test systems, non-critical services</t>
  </si>
  <si>
    <t>Annually (sample)</t>
  </si>
  <si>
    <t>#</t>
  </si>
  <si>
    <t>Owner /
System Owner</t>
  </si>
  <si>
    <t>Business Function / Description</t>
  </si>
  <si>
    <t>Foundational
Dependency?</t>
  </si>
  <si>
    <t>Business
Impact (1-5)</t>
  </si>
  <si>
    <t>Regulatory
(1-5)</t>
  </si>
  <si>
    <t>Data
Sensitivity (1-5)</t>
  </si>
  <si>
    <t>Recovery Complexity (1-5) – effort/risk, NOT part of the score</t>
  </si>
  <si>
    <t>Score</t>
  </si>
  <si>
    <t>Protection Class</t>
  </si>
  <si>
    <t>Recommended Veeam/VRO Configuration</t>
  </si>
  <si>
    <t>Actual RPO (current)</t>
  </si>
  <si>
    <t>Actual RTO (current)</t>
  </si>
  <si>
    <t>Gap / Actions</t>
  </si>
  <si>
    <t>Depends on
(workload IDs, comma-separated)</t>
  </si>
  <si>
    <t>Dashboard – Distribution by Protection Class</t>
  </si>
  <si>
    <t>Number of Workloads</t>
  </si>
  <si>
    <t>Total recorded</t>
  </si>
  <si>
    <t>Note: This dashboard updates automatically. For dependency analysis, please use DR_Workload_Classification.html.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</si>
</sst>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3"/>
      <name val="Arial"/>
      <charset val="1"/>
    </font>
    <font>
      <sz val="11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i/>
      <sz val="10"/>
      <name val="Arial"/>
      <charset val="1"/>
    </font>
    <font>
      <sz val="9"/>
      <name val="Arial"/>
      <charset val="1"/>
    </font>
    <font>
      <b/>
      <sz val="14"/>
      <color rgb="FFFFFFFF"/>
      <name val="Arial"/>
      <charset val="1"/>
    </font>
    <font>
      <i/>
      <sz val="10"/>
      <color rgb="FF808080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00D15F"/>
        <bgColor rgb="FF00FF00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CEB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7" fillId="4" borderId="0" xfId="0" applyFont="1" applyFill="1" applyAlignment="1">
      <alignment wrapText="1"/>
    </xf>
    <xf numFmtId="0" fontId="8" fillId="0" borderId="0" xfId="0" applyFont="1" applyAlignment="1">
      <alignment vertical="top" wrapText="1"/>
    </xf>
    <xf numFmtId="0" fontId="10" fillId="4" borderId="1" xfId="0" applyFont="1" applyFill="1" applyBorder="1"/>
    <xf numFmtId="0" fontId="5" fillId="4" borderId="1" xfId="0" applyFont="1" applyFill="1" applyBorder="1"/>
    <xf numFmtId="0" fontId="4" fillId="2" borderId="0" xfId="0" applyFont="1" applyFill="1"/>
    <xf numFmtId="0" fontId="5" fillId="0" borderId="1" xfId="0" applyFont="1" applyBorder="1"/>
    <xf numFmtId="0" fontId="12" fillId="3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vertical="top" wrapText="1"/>
    </xf>
    <xf numFmtId="0" fontId="12" fillId="0" borderId="1" xfId="0" applyFont="1" applyBorder="1"/>
    <xf numFmtId="0" fontId="1" fillId="2" borderId="0" xfId="0" applyFont="1" applyFill="1"/>
    <xf numFmtId="0" fontId="9" fillId="2" borderId="0" xfId="0" applyFont="1" applyFill="1"/>
    <xf numFmtId="0" fontId="7" fillId="0" borderId="0" xfId="0" applyFont="1" applyAlignment="1">
      <alignment vertical="top" wrapText="1"/>
    </xf>
    <xf numFmtId="0" fontId="11" fillId="0" borderId="0" xfId="0" applyFont="1" applyAlignment="1">
      <alignment wrapText="1"/>
    </xf>
  </cellXfs>
  <cellStyles count="1">
    <cellStyle name="Standard" xfId="0" builtinId="0"/>
  </cellStyles>
  <dxfs count="5">
    <dxf>
      <font>
        <b/>
        <color rgb="FF095FC4"/>
        <name val="Arial"/>
        <charset val="1"/>
      </font>
      <fill>
        <patternFill>
          <bgColor rgb="FFDCEAFB"/>
        </patternFill>
      </fill>
    </dxf>
    <dxf>
      <font>
        <b/>
        <color rgb="FF505861"/>
        <name val="Arial"/>
        <charset val="1"/>
      </font>
      <fill>
        <patternFill>
          <bgColor rgb="FFF2F2F2"/>
        </patternFill>
      </fill>
    </dxf>
    <dxf>
      <font>
        <b/>
        <color rgb="FFB25800"/>
        <name val="Arial"/>
        <charset val="1"/>
      </font>
      <fill>
        <patternFill>
          <bgColor rgb="FFFCEBD9"/>
        </patternFill>
      </fill>
    </dxf>
    <dxf>
      <font>
        <b/>
        <color rgb="FF8E71F4"/>
        <name val="Arial"/>
        <charset val="1"/>
      </font>
      <fill>
        <patternFill>
          <bgColor rgb="FFE7E1FB"/>
        </patternFill>
      </fill>
    </dxf>
    <dxf>
      <font>
        <b/>
        <color rgb="FF232323"/>
        <name val="Arial"/>
        <charset val="1"/>
      </font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71F4"/>
      <rgbColor rgb="FF993366"/>
      <rgbColor rgb="FFFFF2CC"/>
      <rgbColor rgb="FFDCEAFB"/>
      <rgbColor rgb="FF660066"/>
      <rgbColor rgb="FFFF8080"/>
      <rgbColor rgb="FF095FC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9F9F9"/>
      <rgbColor rgb="FFFCEBD9"/>
      <rgbColor rgb="FF99CCFF"/>
      <rgbColor rgb="FFFF99CC"/>
      <rgbColor rgb="FFCC99FF"/>
      <rgbColor rgb="FFE7E1FB"/>
      <rgbColor rgb="FF4F81BD"/>
      <rgbColor rgb="FF00D15F"/>
      <rgbColor rgb="FF99CC00"/>
      <rgbColor rgb="FFFFCC00"/>
      <rgbColor rgb="FFFF9900"/>
      <rgbColor rgb="FFFF6600"/>
      <rgbColor rgb="FF505861"/>
      <rgbColor rgb="FF878787"/>
      <rgbColor rgb="FF003366"/>
      <rgbColor rgb="FF339966"/>
      <rgbColor rgb="FF003300"/>
      <rgbColor rgb="FF333300"/>
      <rgbColor rgb="FFB25800"/>
      <rgbColor rgb="FF993366"/>
      <rgbColor rgb="FF333399"/>
      <rgbColor rgb="FF2323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de-DE" sz="1800" b="1" u="none" strike="noStrike">
                <a:solidFill>
                  <a:srgbClr val="000000"/>
                </a:solidFill>
                <a:uFillTx/>
                <a:latin typeface="Calibri"/>
              </a:rPr>
              <a:t>Workloads per Protection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Number of Workloads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Dashboard!$A$4:$A$8</c:f>
              <c:strCache>
                <c:ptCount val="5"/>
                <c:pt idx="0">
                  <c:v>Tier 0 – Foundation</c:v>
                </c:pt>
                <c:pt idx="1">
                  <c:v>Tier 1 – Platinum</c:v>
                </c:pt>
                <c:pt idx="2">
                  <c:v>Tier 2 – Gold</c:v>
                </c:pt>
                <c:pt idx="3">
                  <c:v>Tier 3 – Silver</c:v>
                </c:pt>
                <c:pt idx="4">
                  <c:v>Tier 4 – Bronze</c:v>
                </c:pt>
              </c:strCache>
            </c:strRef>
          </c:cat>
          <c:val>
            <c:numRef>
              <c:f>Dashboard!$B$4:$B$8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B-4927-9BCD-A4C04B485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92003"/>
        <c:axId val="46515587"/>
      </c:barChart>
      <c:catAx>
        <c:axId val="994920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de-DE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Protection Class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6515587"/>
        <c:crosses val="autoZero"/>
        <c:auto val="1"/>
        <c:lblAlgn val="ctr"/>
        <c:lblOffset val="100"/>
        <c:noMultiLvlLbl val="0"/>
      </c:catAx>
      <c:valAx>
        <c:axId val="465155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de-DE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Number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949200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12</xdr:col>
      <xdr:colOff>254880</xdr:colOff>
      <xdr:row>16</xdr:row>
      <xdr:rowOff>190440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showGridLines="0" zoomScaleNormal="100" workbookViewId="0">
      <selection activeCell="B25" sqref="B25"/>
    </sheetView>
  </sheetViews>
  <sheetFormatPr baseColWidth="10" defaultColWidth="8.7109375" defaultRowHeight="15" x14ac:dyDescent="0.25"/>
  <cols>
    <col min="1" max="1" width="4" customWidth="1"/>
    <col min="2" max="2" width="110" customWidth="1"/>
  </cols>
  <sheetData>
    <row r="1" spans="1:2" ht="27.75" customHeight="1" x14ac:dyDescent="0.3">
      <c r="A1" s="18" t="s">
        <v>0</v>
      </c>
      <c r="B1" s="18"/>
    </row>
    <row r="3" spans="1:2" ht="15.75" customHeight="1" x14ac:dyDescent="0.25">
      <c r="B3" s="1" t="s">
        <v>1</v>
      </c>
    </row>
    <row r="4" spans="1:2" ht="42.75" customHeight="1" x14ac:dyDescent="0.25">
      <c r="B4" s="2" t="s">
        <v>2</v>
      </c>
    </row>
    <row r="6" spans="1:2" ht="15.75" customHeight="1" x14ac:dyDescent="0.25">
      <c r="B6" s="1" t="s">
        <v>3</v>
      </c>
    </row>
    <row r="7" spans="1:2" ht="26.25" customHeight="1" x14ac:dyDescent="0.25">
      <c r="B7" s="2" t="s">
        <v>4</v>
      </c>
    </row>
    <row r="8" spans="1:2" ht="26.25" customHeight="1" x14ac:dyDescent="0.25">
      <c r="B8" s="2" t="s">
        <v>5</v>
      </c>
    </row>
    <row r="9" spans="1:2" ht="42.75" customHeight="1" x14ac:dyDescent="0.25">
      <c r="B9" s="2" t="s">
        <v>6</v>
      </c>
    </row>
    <row r="10" spans="1:2" ht="15" customHeight="1" x14ac:dyDescent="0.25">
      <c r="B10" s="2" t="s">
        <v>7</v>
      </c>
    </row>
    <row r="11" spans="1:2" ht="26.25" customHeight="1" x14ac:dyDescent="0.25">
      <c r="B11" s="2" t="s">
        <v>8</v>
      </c>
    </row>
    <row r="12" spans="1:2" ht="15" customHeight="1" x14ac:dyDescent="0.25">
      <c r="B12" s="2" t="s">
        <v>9</v>
      </c>
    </row>
    <row r="14" spans="1:2" ht="15.75" customHeight="1" x14ac:dyDescent="0.25">
      <c r="B14" s="1" t="s">
        <v>10</v>
      </c>
    </row>
    <row r="15" spans="1:2" ht="26.25" customHeight="1" x14ac:dyDescent="0.25">
      <c r="B15" s="2" t="s">
        <v>11</v>
      </c>
    </row>
    <row r="17" spans="2:6" ht="15.75" customHeight="1" x14ac:dyDescent="0.25">
      <c r="B17" s="1" t="s">
        <v>12</v>
      </c>
    </row>
    <row r="19" spans="2:6" ht="27.75" customHeight="1" x14ac:dyDescent="0.25">
      <c r="B19" s="3" t="s">
        <v>13</v>
      </c>
      <c r="C19" s="3" t="s">
        <v>14</v>
      </c>
      <c r="D19" s="3" t="s">
        <v>15</v>
      </c>
      <c r="E19" s="3" t="s">
        <v>16</v>
      </c>
      <c r="F19" s="3" t="s">
        <v>17</v>
      </c>
    </row>
    <row r="20" spans="2:6" ht="45.75" customHeight="1" x14ac:dyDescent="0.25">
      <c r="B20" s="4" t="s">
        <v>18</v>
      </c>
      <c r="C20" s="4" t="s">
        <v>19</v>
      </c>
      <c r="D20" s="4" t="s">
        <v>20</v>
      </c>
      <c r="E20" s="4" t="s">
        <v>21</v>
      </c>
      <c r="F20" s="4" t="s">
        <v>22</v>
      </c>
    </row>
    <row r="21" spans="2:6" ht="57" customHeight="1" x14ac:dyDescent="0.25"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</row>
    <row r="22" spans="2:6" ht="79.5" customHeight="1" x14ac:dyDescent="0.25">
      <c r="B22" s="4" t="s">
        <v>28</v>
      </c>
      <c r="C22" s="4" t="s">
        <v>29</v>
      </c>
      <c r="D22" s="4" t="s">
        <v>30</v>
      </c>
      <c r="E22" s="4" t="s">
        <v>31</v>
      </c>
      <c r="F22" s="4" t="s">
        <v>32</v>
      </c>
    </row>
    <row r="23" spans="2:6" ht="45.75" customHeight="1" x14ac:dyDescent="0.25">
      <c r="B23" s="4" t="s">
        <v>33</v>
      </c>
      <c r="C23" s="4" t="s">
        <v>34</v>
      </c>
      <c r="D23" s="4" t="s">
        <v>35</v>
      </c>
      <c r="E23" s="4" t="s">
        <v>36</v>
      </c>
      <c r="F23" s="4" t="s">
        <v>37</v>
      </c>
    </row>
    <row r="25" spans="2:6" ht="26.25" customHeight="1" x14ac:dyDescent="0.25">
      <c r="B25" s="5" t="s">
        <v>38</v>
      </c>
    </row>
    <row r="26" spans="2:6" ht="15" customHeight="1" x14ac:dyDescent="0.25">
      <c r="B26" t="s">
        <v>39</v>
      </c>
    </row>
    <row r="27" spans="2:6" ht="15.75" customHeight="1" x14ac:dyDescent="0.25">
      <c r="B27" s="1" t="s">
        <v>40</v>
      </c>
    </row>
    <row r="28" spans="2:6" ht="26.25" customHeight="1" x14ac:dyDescent="0.25">
      <c r="B28" s="2" t="s">
        <v>41</v>
      </c>
    </row>
    <row r="29" spans="2:6" ht="15" customHeight="1" x14ac:dyDescent="0.25">
      <c r="B29" t="s">
        <v>42</v>
      </c>
    </row>
    <row r="30" spans="2:6" ht="15.75" customHeight="1" x14ac:dyDescent="0.25">
      <c r="B30" s="1" t="s">
        <v>43</v>
      </c>
    </row>
    <row r="31" spans="2:6" ht="71.25" customHeight="1" x14ac:dyDescent="0.25">
      <c r="B31" s="2" t="s">
        <v>44</v>
      </c>
    </row>
    <row r="33" spans="2:2" ht="15.75" customHeight="1" x14ac:dyDescent="0.25">
      <c r="B33" s="1" t="s">
        <v>45</v>
      </c>
    </row>
    <row r="34" spans="2:2" ht="23.25" customHeight="1" x14ac:dyDescent="0.25">
      <c r="B34" s="6" t="s">
        <v>46</v>
      </c>
    </row>
    <row r="36" spans="2:2" ht="21.75" customHeight="1" x14ac:dyDescent="0.25">
      <c r="B36" s="7" t="s">
        <v>47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9"/>
  <sheetViews>
    <sheetView showGridLines="0" zoomScaleNormal="100" workbookViewId="0">
      <pane ySplit="4" topLeftCell="A5" activePane="bottomLeft" state="frozen"/>
      <selection pane="bottomLeft" activeCell="A5" sqref="A5:G5"/>
    </sheetView>
  </sheetViews>
  <sheetFormatPr baseColWidth="10" defaultColWidth="8.7109375" defaultRowHeight="15" x14ac:dyDescent="0.25"/>
  <cols>
    <col min="1" max="1" width="22" customWidth="1"/>
    <col min="2" max="2" width="24" customWidth="1"/>
    <col min="3" max="4" width="20" customWidth="1"/>
    <col min="5" max="5" width="12" customWidth="1"/>
    <col min="6" max="6" width="20" customWidth="1"/>
    <col min="7" max="7" width="30" customWidth="1"/>
  </cols>
  <sheetData>
    <row r="1" spans="1:7" ht="24" customHeight="1" x14ac:dyDescent="0.25">
      <c r="A1" s="19" t="s">
        <v>48</v>
      </c>
      <c r="B1" s="19"/>
      <c r="C1" s="19"/>
      <c r="D1" s="19"/>
      <c r="E1" s="19"/>
      <c r="F1" s="19"/>
      <c r="G1" s="19"/>
    </row>
    <row r="2" spans="1:7" ht="45" customHeight="1" x14ac:dyDescent="0.25">
      <c r="A2" s="20" t="s">
        <v>49</v>
      </c>
      <c r="B2" s="20"/>
      <c r="C2" s="20"/>
      <c r="D2" s="20"/>
      <c r="E2" s="20"/>
      <c r="F2" s="20"/>
      <c r="G2" s="20"/>
    </row>
    <row r="4" spans="1:7" ht="38.25" customHeight="1" x14ac:dyDescent="0.25">
      <c r="A4" s="3" t="s">
        <v>50</v>
      </c>
      <c r="B4" s="3" t="s">
        <v>51</v>
      </c>
      <c r="C4" s="3" t="s">
        <v>52</v>
      </c>
      <c r="D4" s="3" t="s">
        <v>53</v>
      </c>
      <c r="E4" s="3" t="s">
        <v>54</v>
      </c>
      <c r="F4" s="3" t="s">
        <v>55</v>
      </c>
      <c r="G4" s="3" t="s">
        <v>56</v>
      </c>
    </row>
    <row r="5" spans="1:7" ht="15" customHeight="1" x14ac:dyDescent="0.25">
      <c r="A5" s="8"/>
      <c r="B5" s="8"/>
      <c r="C5" s="8"/>
      <c r="D5" s="8"/>
      <c r="E5" s="8"/>
      <c r="F5" s="8"/>
      <c r="G5" s="8"/>
    </row>
    <row r="6" spans="1:7" ht="15" customHeight="1" x14ac:dyDescent="0.25">
      <c r="A6" s="9"/>
      <c r="B6" s="9"/>
      <c r="C6" s="9"/>
      <c r="D6" s="9"/>
      <c r="E6" s="9"/>
      <c r="F6" s="9"/>
      <c r="G6" s="9"/>
    </row>
    <row r="7" spans="1:7" ht="15" customHeight="1" x14ac:dyDescent="0.25">
      <c r="A7" s="9"/>
      <c r="B7" s="9"/>
      <c r="C7" s="9"/>
      <c r="D7" s="9"/>
      <c r="E7" s="9"/>
      <c r="F7" s="9"/>
      <c r="G7" s="9"/>
    </row>
    <row r="8" spans="1:7" ht="15" customHeight="1" x14ac:dyDescent="0.25">
      <c r="A8" s="9"/>
      <c r="B8" s="9"/>
      <c r="C8" s="9"/>
      <c r="D8" s="9"/>
      <c r="E8" s="9"/>
      <c r="F8" s="9"/>
      <c r="G8" s="9"/>
    </row>
    <row r="9" spans="1:7" ht="15" customHeight="1" x14ac:dyDescent="0.25">
      <c r="A9" s="9"/>
      <c r="B9" s="9"/>
      <c r="C9" s="9"/>
      <c r="D9" s="9"/>
      <c r="E9" s="9"/>
      <c r="F9" s="9"/>
      <c r="G9" s="9"/>
    </row>
    <row r="10" spans="1:7" ht="15" customHeight="1" x14ac:dyDescent="0.25">
      <c r="A10" s="9"/>
      <c r="B10" s="9"/>
      <c r="C10" s="9"/>
      <c r="D10" s="9"/>
      <c r="E10" s="9"/>
      <c r="F10" s="9"/>
      <c r="G10" s="9"/>
    </row>
    <row r="11" spans="1:7" ht="15" customHeight="1" x14ac:dyDescent="0.25">
      <c r="A11" s="9"/>
      <c r="B11" s="9"/>
      <c r="C11" s="9"/>
      <c r="D11" s="9"/>
      <c r="E11" s="9"/>
      <c r="F11" s="9"/>
      <c r="G11" s="9"/>
    </row>
    <row r="12" spans="1:7" ht="15" customHeight="1" x14ac:dyDescent="0.25">
      <c r="A12" s="9"/>
      <c r="B12" s="9"/>
      <c r="C12" s="9"/>
      <c r="D12" s="9"/>
      <c r="E12" s="9"/>
      <c r="F12" s="9"/>
      <c r="G12" s="9"/>
    </row>
    <row r="13" spans="1:7" ht="15" customHeight="1" x14ac:dyDescent="0.25">
      <c r="A13" s="9"/>
      <c r="B13" s="9"/>
      <c r="C13" s="9"/>
      <c r="D13" s="9"/>
      <c r="E13" s="9"/>
      <c r="F13" s="9"/>
      <c r="G13" s="9"/>
    </row>
    <row r="14" spans="1:7" ht="15" customHeight="1" x14ac:dyDescent="0.25">
      <c r="A14" s="9"/>
      <c r="B14" s="9"/>
      <c r="C14" s="9"/>
      <c r="D14" s="9"/>
      <c r="E14" s="9"/>
      <c r="F14" s="9"/>
      <c r="G14" s="9"/>
    </row>
    <row r="15" spans="1:7" ht="15" customHeight="1" x14ac:dyDescent="0.25">
      <c r="A15" s="9"/>
      <c r="B15" s="9"/>
      <c r="C15" s="9"/>
      <c r="D15" s="9"/>
      <c r="E15" s="9"/>
      <c r="F15" s="9"/>
      <c r="G15" s="9"/>
    </row>
    <row r="16" spans="1:7" ht="15" customHeight="1" x14ac:dyDescent="0.25">
      <c r="A16" s="9"/>
      <c r="B16" s="9"/>
      <c r="C16" s="9"/>
      <c r="D16" s="9"/>
      <c r="E16" s="9"/>
      <c r="F16" s="9"/>
      <c r="G16" s="9"/>
    </row>
    <row r="17" spans="1:7" ht="15" customHeight="1" x14ac:dyDescent="0.25">
      <c r="A17" s="9"/>
      <c r="B17" s="9"/>
      <c r="C17" s="9"/>
      <c r="D17" s="9"/>
      <c r="E17" s="9"/>
      <c r="F17" s="9"/>
      <c r="G17" s="9"/>
    </row>
    <row r="18" spans="1:7" ht="15" customHeight="1" x14ac:dyDescent="0.25">
      <c r="A18" s="9"/>
      <c r="B18" s="9"/>
      <c r="C18" s="9"/>
      <c r="D18" s="9"/>
      <c r="E18" s="9"/>
      <c r="F18" s="9"/>
      <c r="G18" s="9"/>
    </row>
    <row r="19" spans="1:7" ht="15" customHeight="1" x14ac:dyDescent="0.25">
      <c r="A19" s="9"/>
      <c r="B19" s="9"/>
      <c r="C19" s="9"/>
      <c r="D19" s="9"/>
      <c r="E19" s="9"/>
      <c r="F19" s="9"/>
      <c r="G19" s="9"/>
    </row>
    <row r="20" spans="1:7" ht="15" customHeight="1" x14ac:dyDescent="0.25">
      <c r="A20" s="9"/>
      <c r="B20" s="9"/>
      <c r="C20" s="9"/>
      <c r="D20" s="9"/>
      <c r="E20" s="9"/>
      <c r="F20" s="9"/>
      <c r="G20" s="9"/>
    </row>
    <row r="21" spans="1:7" ht="15" customHeight="1" x14ac:dyDescent="0.25">
      <c r="A21" s="9"/>
      <c r="B21" s="9"/>
      <c r="C21" s="9"/>
      <c r="D21" s="9"/>
      <c r="E21" s="9"/>
      <c r="F21" s="9"/>
      <c r="G21" s="9"/>
    </row>
    <row r="22" spans="1:7" ht="15" customHeight="1" x14ac:dyDescent="0.25">
      <c r="A22" s="9"/>
      <c r="B22" s="9"/>
      <c r="C22" s="9"/>
      <c r="D22" s="9"/>
      <c r="E22" s="9"/>
      <c r="F22" s="9"/>
      <c r="G22" s="9"/>
    </row>
    <row r="23" spans="1:7" ht="15" customHeight="1" x14ac:dyDescent="0.25">
      <c r="A23" s="9"/>
      <c r="B23" s="9"/>
      <c r="C23" s="9"/>
      <c r="D23" s="9"/>
      <c r="E23" s="9"/>
      <c r="F23" s="9"/>
      <c r="G23" s="9"/>
    </row>
    <row r="24" spans="1:7" ht="15" customHeight="1" x14ac:dyDescent="0.25">
      <c r="A24" s="9"/>
      <c r="B24" s="9"/>
      <c r="C24" s="9"/>
      <c r="D24" s="9"/>
      <c r="E24" s="9"/>
      <c r="F24" s="9"/>
      <c r="G24" s="9"/>
    </row>
    <row r="25" spans="1:7" ht="15" customHeight="1" x14ac:dyDescent="0.25">
      <c r="A25" s="9"/>
      <c r="B25" s="9"/>
      <c r="C25" s="9"/>
      <c r="D25" s="9"/>
      <c r="E25" s="9"/>
      <c r="F25" s="9"/>
      <c r="G25" s="9"/>
    </row>
    <row r="26" spans="1:7" ht="15" customHeight="1" x14ac:dyDescent="0.25">
      <c r="A26" s="9"/>
      <c r="B26" s="9"/>
      <c r="C26" s="9"/>
      <c r="D26" s="9"/>
      <c r="E26" s="9"/>
      <c r="F26" s="9"/>
      <c r="G26" s="9"/>
    </row>
    <row r="27" spans="1:7" ht="15" customHeight="1" x14ac:dyDescent="0.25">
      <c r="A27" s="9"/>
      <c r="B27" s="9"/>
      <c r="C27" s="9"/>
      <c r="D27" s="9"/>
      <c r="E27" s="9"/>
      <c r="F27" s="9"/>
      <c r="G27" s="9"/>
    </row>
    <row r="28" spans="1:7" ht="15" customHeight="1" x14ac:dyDescent="0.25">
      <c r="A28" s="9"/>
      <c r="B28" s="9"/>
      <c r="C28" s="9"/>
      <c r="D28" s="9"/>
      <c r="E28" s="9"/>
      <c r="F28" s="9"/>
      <c r="G28" s="9"/>
    </row>
    <row r="29" spans="1:7" ht="15" customHeight="1" x14ac:dyDescent="0.25">
      <c r="A29" s="9"/>
      <c r="B29" s="9"/>
      <c r="C29" s="9"/>
      <c r="D29" s="9"/>
      <c r="E29" s="9"/>
      <c r="F29" s="9"/>
      <c r="G29" s="9"/>
    </row>
    <row r="30" spans="1:7" ht="15" customHeight="1" x14ac:dyDescent="0.25">
      <c r="A30" s="9"/>
      <c r="B30" s="9"/>
      <c r="C30" s="9"/>
      <c r="D30" s="9"/>
      <c r="E30" s="9"/>
      <c r="F30" s="9"/>
      <c r="G30" s="9"/>
    </row>
    <row r="31" spans="1:7" ht="15" customHeight="1" x14ac:dyDescent="0.25">
      <c r="A31" s="9"/>
      <c r="B31" s="9"/>
      <c r="C31" s="9"/>
      <c r="D31" s="9"/>
      <c r="E31" s="9"/>
      <c r="F31" s="9"/>
      <c r="G31" s="9"/>
    </row>
    <row r="32" spans="1:7" ht="15" customHeight="1" x14ac:dyDescent="0.25">
      <c r="A32" s="9"/>
      <c r="B32" s="9"/>
      <c r="C32" s="9"/>
      <c r="D32" s="9"/>
      <c r="E32" s="9"/>
      <c r="F32" s="9"/>
      <c r="G32" s="9"/>
    </row>
    <row r="33" spans="1:7" ht="15" customHeight="1" x14ac:dyDescent="0.25">
      <c r="A33" s="9"/>
      <c r="B33" s="9"/>
      <c r="C33" s="9"/>
      <c r="D33" s="9"/>
      <c r="E33" s="9"/>
      <c r="F33" s="9"/>
      <c r="G33" s="9"/>
    </row>
    <row r="34" spans="1:7" ht="15" customHeight="1" x14ac:dyDescent="0.25">
      <c r="A34" s="9"/>
      <c r="B34" s="9"/>
      <c r="C34" s="9"/>
      <c r="D34" s="9"/>
      <c r="E34" s="9"/>
      <c r="F34" s="9"/>
      <c r="G34" s="9"/>
    </row>
    <row r="35" spans="1:7" ht="15" customHeight="1" x14ac:dyDescent="0.25">
      <c r="A35" s="9"/>
      <c r="B35" s="9"/>
      <c r="C35" s="9"/>
      <c r="D35" s="9"/>
      <c r="E35" s="9"/>
      <c r="F35" s="9"/>
      <c r="G35" s="9"/>
    </row>
    <row r="36" spans="1:7" ht="15" customHeight="1" x14ac:dyDescent="0.25">
      <c r="A36" s="9"/>
      <c r="B36" s="9"/>
      <c r="C36" s="9"/>
      <c r="D36" s="9"/>
      <c r="E36" s="9"/>
      <c r="F36" s="9"/>
      <c r="G36" s="9"/>
    </row>
    <row r="37" spans="1:7" ht="15" customHeight="1" x14ac:dyDescent="0.25">
      <c r="A37" s="9"/>
      <c r="B37" s="9"/>
      <c r="C37" s="9"/>
      <c r="D37" s="9"/>
      <c r="E37" s="9"/>
      <c r="F37" s="9"/>
      <c r="G37" s="9"/>
    </row>
    <row r="38" spans="1:7" ht="15" customHeight="1" x14ac:dyDescent="0.25">
      <c r="A38" s="9"/>
      <c r="B38" s="9"/>
      <c r="C38" s="9"/>
      <c r="D38" s="9"/>
      <c r="E38" s="9"/>
      <c r="F38" s="9"/>
      <c r="G38" s="9"/>
    </row>
    <row r="39" spans="1:7" ht="15" customHeight="1" x14ac:dyDescent="0.25">
      <c r="A39" s="9"/>
      <c r="B39" s="9"/>
      <c r="C39" s="9"/>
      <c r="D39" s="9"/>
      <c r="E39" s="9"/>
      <c r="F39" s="9"/>
      <c r="G39" s="9"/>
    </row>
    <row r="40" spans="1:7" ht="15" customHeight="1" x14ac:dyDescent="0.25">
      <c r="A40" s="9"/>
      <c r="B40" s="9"/>
      <c r="C40" s="9"/>
      <c r="D40" s="9"/>
      <c r="E40" s="9"/>
      <c r="F40" s="9"/>
      <c r="G40" s="9"/>
    </row>
    <row r="41" spans="1:7" ht="15" customHeight="1" x14ac:dyDescent="0.25">
      <c r="A41" s="9"/>
      <c r="B41" s="9"/>
      <c r="C41" s="9"/>
      <c r="D41" s="9"/>
      <c r="E41" s="9"/>
      <c r="F41" s="9"/>
      <c r="G41" s="9"/>
    </row>
    <row r="42" spans="1:7" ht="15" customHeight="1" x14ac:dyDescent="0.25">
      <c r="A42" s="9"/>
      <c r="B42" s="9"/>
      <c r="C42" s="9"/>
      <c r="D42" s="9"/>
      <c r="E42" s="9"/>
      <c r="F42" s="9"/>
      <c r="G42" s="9"/>
    </row>
    <row r="43" spans="1:7" ht="15" customHeight="1" x14ac:dyDescent="0.25">
      <c r="A43" s="9"/>
      <c r="B43" s="9"/>
      <c r="C43" s="9"/>
      <c r="D43" s="9"/>
      <c r="E43" s="9"/>
      <c r="F43" s="9"/>
      <c r="G43" s="9"/>
    </row>
    <row r="44" spans="1:7" ht="15" customHeight="1" x14ac:dyDescent="0.25">
      <c r="A44" s="9"/>
      <c r="B44" s="9"/>
      <c r="C44" s="9"/>
      <c r="D44" s="9"/>
      <c r="E44" s="9"/>
      <c r="F44" s="9"/>
      <c r="G44" s="9"/>
    </row>
    <row r="45" spans="1:7" ht="15" customHeight="1" x14ac:dyDescent="0.25">
      <c r="A45" s="9"/>
      <c r="B45" s="9"/>
      <c r="C45" s="9"/>
      <c r="D45" s="9"/>
      <c r="E45" s="9"/>
      <c r="F45" s="9"/>
      <c r="G45" s="9"/>
    </row>
    <row r="46" spans="1:7" ht="15" customHeight="1" x14ac:dyDescent="0.25">
      <c r="A46" s="9"/>
      <c r="B46" s="9"/>
      <c r="C46" s="9"/>
      <c r="D46" s="9"/>
      <c r="E46" s="9"/>
      <c r="F46" s="9"/>
      <c r="G46" s="9"/>
    </row>
    <row r="47" spans="1:7" ht="15" customHeight="1" x14ac:dyDescent="0.25">
      <c r="A47" s="9"/>
      <c r="B47" s="9"/>
      <c r="C47" s="9"/>
      <c r="D47" s="9"/>
      <c r="E47" s="9"/>
      <c r="F47" s="9"/>
      <c r="G47" s="9"/>
    </row>
    <row r="48" spans="1:7" ht="15" customHeight="1" x14ac:dyDescent="0.25">
      <c r="A48" s="9"/>
      <c r="B48" s="9"/>
      <c r="C48" s="9"/>
      <c r="D48" s="9"/>
      <c r="E48" s="9"/>
      <c r="F48" s="9"/>
      <c r="G48" s="9"/>
    </row>
    <row r="49" spans="1:7" ht="15" customHeight="1" x14ac:dyDescent="0.25">
      <c r="A49" s="9"/>
      <c r="B49" s="9"/>
      <c r="C49" s="9"/>
      <c r="D49" s="9"/>
      <c r="E49" s="9"/>
      <c r="F49" s="9"/>
      <c r="G49" s="9"/>
    </row>
    <row r="50" spans="1:7" ht="15" customHeight="1" x14ac:dyDescent="0.25">
      <c r="A50" s="9"/>
      <c r="B50" s="9"/>
      <c r="C50" s="9"/>
      <c r="D50" s="9"/>
      <c r="E50" s="9"/>
      <c r="F50" s="9"/>
      <c r="G50" s="9"/>
    </row>
    <row r="51" spans="1:7" ht="15" customHeight="1" x14ac:dyDescent="0.25">
      <c r="A51" s="9"/>
      <c r="B51" s="9"/>
      <c r="C51" s="9"/>
      <c r="D51" s="9"/>
      <c r="E51" s="9"/>
      <c r="F51" s="9"/>
      <c r="G51" s="9"/>
    </row>
    <row r="52" spans="1:7" ht="15" customHeight="1" x14ac:dyDescent="0.25">
      <c r="A52" s="9"/>
      <c r="B52" s="9"/>
      <c r="C52" s="9"/>
      <c r="D52" s="9"/>
      <c r="E52" s="9"/>
      <c r="F52" s="9"/>
      <c r="G52" s="9"/>
    </row>
    <row r="53" spans="1:7" ht="15" customHeight="1" x14ac:dyDescent="0.25">
      <c r="A53" s="9"/>
      <c r="B53" s="9"/>
      <c r="C53" s="9"/>
      <c r="D53" s="9"/>
      <c r="E53" s="9"/>
      <c r="F53" s="9"/>
      <c r="G53" s="9"/>
    </row>
    <row r="54" spans="1:7" ht="15" customHeight="1" x14ac:dyDescent="0.25">
      <c r="A54" s="9"/>
      <c r="B54" s="9"/>
      <c r="C54" s="9"/>
      <c r="D54" s="9"/>
      <c r="E54" s="9"/>
      <c r="F54" s="9"/>
      <c r="G54" s="9"/>
    </row>
    <row r="55" spans="1:7" ht="15" customHeight="1" x14ac:dyDescent="0.25">
      <c r="A55" s="9"/>
      <c r="B55" s="9"/>
      <c r="C55" s="9"/>
      <c r="D55" s="9"/>
      <c r="E55" s="9"/>
      <c r="F55" s="9"/>
      <c r="G55" s="9"/>
    </row>
    <row r="56" spans="1:7" ht="15" customHeight="1" x14ac:dyDescent="0.25">
      <c r="A56" s="9"/>
      <c r="B56" s="9"/>
      <c r="C56" s="9"/>
      <c r="D56" s="9"/>
      <c r="E56" s="9"/>
      <c r="F56" s="9"/>
      <c r="G56" s="9"/>
    </row>
    <row r="57" spans="1:7" ht="15" customHeight="1" x14ac:dyDescent="0.25">
      <c r="A57" s="9"/>
      <c r="B57" s="9"/>
      <c r="C57" s="9"/>
      <c r="D57" s="9"/>
      <c r="E57" s="9"/>
      <c r="F57" s="9"/>
      <c r="G57" s="9"/>
    </row>
    <row r="58" spans="1:7" ht="15" customHeight="1" x14ac:dyDescent="0.25">
      <c r="A58" s="9"/>
      <c r="B58" s="9"/>
      <c r="C58" s="9"/>
      <c r="D58" s="9"/>
      <c r="E58" s="9"/>
      <c r="F58" s="9"/>
      <c r="G58" s="9"/>
    </row>
    <row r="59" spans="1:7" ht="15" customHeight="1" x14ac:dyDescent="0.25">
      <c r="A59" s="9"/>
      <c r="B59" s="9"/>
      <c r="C59" s="9"/>
      <c r="D59" s="9"/>
      <c r="E59" s="9"/>
      <c r="F59" s="9"/>
      <c r="G59" s="9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Normal="100" workbookViewId="0">
      <selection sqref="A1:G1"/>
    </sheetView>
  </sheetViews>
  <sheetFormatPr baseColWidth="10" defaultColWidth="8.7109375" defaultRowHeight="15" x14ac:dyDescent="0.25"/>
  <cols>
    <col min="1" max="1" width="14" customWidth="1"/>
    <col min="2" max="3" width="22" customWidth="1"/>
    <col min="4" max="4" width="16" customWidth="1"/>
    <col min="5" max="5" width="45" customWidth="1"/>
    <col min="6" max="6" width="32" customWidth="1"/>
    <col min="7" max="7" width="16" customWidth="1"/>
    <col min="8" max="8" width="14" customWidth="1"/>
  </cols>
  <sheetData>
    <row r="1" spans="1:8" ht="24" customHeight="1" x14ac:dyDescent="0.25">
      <c r="A1" s="19" t="s">
        <v>57</v>
      </c>
      <c r="B1" s="19"/>
      <c r="C1" s="19"/>
      <c r="D1" s="19"/>
      <c r="E1" s="19"/>
      <c r="F1" s="19"/>
      <c r="G1" s="19"/>
    </row>
    <row r="2" spans="1:8" ht="15" customHeight="1" x14ac:dyDescent="0.25">
      <c r="A2" t="s">
        <v>58</v>
      </c>
    </row>
    <row r="3" spans="1:8" ht="15" customHeight="1" x14ac:dyDescent="0.25">
      <c r="A3" s="10" t="s">
        <v>59</v>
      </c>
      <c r="B3" s="10" t="s">
        <v>60</v>
      </c>
    </row>
    <row r="4" spans="1:8" ht="15" customHeight="1" x14ac:dyDescent="0.25">
      <c r="A4" s="11">
        <v>0</v>
      </c>
      <c r="B4" s="11" t="s">
        <v>61</v>
      </c>
    </row>
    <row r="5" spans="1:8" ht="15" customHeight="1" x14ac:dyDescent="0.25">
      <c r="A5" s="11">
        <v>2.5</v>
      </c>
      <c r="B5" s="11" t="s">
        <v>62</v>
      </c>
    </row>
    <row r="6" spans="1:8" ht="15" customHeight="1" x14ac:dyDescent="0.25">
      <c r="A6" s="11">
        <v>3.5</v>
      </c>
      <c r="B6" s="11" t="s">
        <v>63</v>
      </c>
    </row>
    <row r="7" spans="1:8" ht="15" customHeight="1" x14ac:dyDescent="0.25">
      <c r="A7" s="11">
        <v>4.3</v>
      </c>
      <c r="B7" s="11" t="s">
        <v>64</v>
      </c>
    </row>
    <row r="9" spans="1:8" ht="31.5" customHeight="1" x14ac:dyDescent="0.25">
      <c r="A9" s="21" t="s">
        <v>65</v>
      </c>
      <c r="B9" s="21"/>
      <c r="C9" s="21"/>
      <c r="D9" s="21"/>
      <c r="E9" s="21"/>
      <c r="F9" s="21"/>
      <c r="G9" s="21"/>
    </row>
    <row r="11" spans="1:8" ht="31.5" customHeight="1" x14ac:dyDescent="0.25">
      <c r="B11" s="3" t="s">
        <v>66</v>
      </c>
      <c r="C11" s="3" t="s">
        <v>67</v>
      </c>
      <c r="D11" s="3" t="s">
        <v>68</v>
      </c>
      <c r="E11" s="3" t="s">
        <v>69</v>
      </c>
      <c r="F11" s="3" t="s">
        <v>70</v>
      </c>
      <c r="G11" s="3" t="s">
        <v>71</v>
      </c>
      <c r="H11" s="3" t="s">
        <v>72</v>
      </c>
    </row>
    <row r="12" spans="1:8" ht="54.75" customHeight="1" x14ac:dyDescent="0.25">
      <c r="B12" s="12" t="s">
        <v>73</v>
      </c>
      <c r="C12" s="4" t="s">
        <v>74</v>
      </c>
      <c r="D12" s="4" t="s">
        <v>75</v>
      </c>
      <c r="E12" s="4" t="s">
        <v>76</v>
      </c>
      <c r="F12" s="4" t="s">
        <v>77</v>
      </c>
      <c r="G12" s="4" t="s">
        <v>78</v>
      </c>
      <c r="H12" s="4">
        <v>0</v>
      </c>
    </row>
    <row r="13" spans="1:8" ht="54.75" customHeight="1" x14ac:dyDescent="0.25">
      <c r="B13" s="12" t="s">
        <v>64</v>
      </c>
      <c r="C13" s="4" t="s">
        <v>79</v>
      </c>
      <c r="D13" s="4" t="s">
        <v>80</v>
      </c>
      <c r="E13" s="4" t="s">
        <v>81</v>
      </c>
      <c r="F13" s="4" t="s">
        <v>82</v>
      </c>
      <c r="G13" s="4" t="s">
        <v>83</v>
      </c>
      <c r="H13" s="4">
        <v>1</v>
      </c>
    </row>
    <row r="14" spans="1:8" ht="54.75" customHeight="1" x14ac:dyDescent="0.25">
      <c r="B14" s="12" t="s">
        <v>63</v>
      </c>
      <c r="C14" s="4" t="s">
        <v>80</v>
      </c>
      <c r="D14" s="4" t="s">
        <v>84</v>
      </c>
      <c r="E14" s="4" t="s">
        <v>85</v>
      </c>
      <c r="F14" s="4" t="s">
        <v>86</v>
      </c>
      <c r="G14" s="4" t="s">
        <v>87</v>
      </c>
      <c r="H14" s="4">
        <v>2</v>
      </c>
    </row>
    <row r="15" spans="1:8" ht="54.75" customHeight="1" x14ac:dyDescent="0.25">
      <c r="B15" s="12" t="s">
        <v>62</v>
      </c>
      <c r="C15" s="4" t="s">
        <v>84</v>
      </c>
      <c r="D15" s="4" t="s">
        <v>88</v>
      </c>
      <c r="E15" s="4" t="s">
        <v>89</v>
      </c>
      <c r="F15" s="4" t="s">
        <v>90</v>
      </c>
      <c r="G15" s="4" t="s">
        <v>91</v>
      </c>
      <c r="H15" s="4">
        <v>3</v>
      </c>
    </row>
    <row r="16" spans="1:8" ht="54.75" customHeight="1" x14ac:dyDescent="0.25">
      <c r="B16" s="12" t="s">
        <v>61</v>
      </c>
      <c r="C16" s="4" t="s">
        <v>88</v>
      </c>
      <c r="D16" s="4" t="s">
        <v>92</v>
      </c>
      <c r="E16" s="4" t="s">
        <v>93</v>
      </c>
      <c r="F16" s="4" t="s">
        <v>94</v>
      </c>
      <c r="G16" s="4" t="s">
        <v>95</v>
      </c>
      <c r="H16" s="4">
        <v>4</v>
      </c>
    </row>
  </sheetData>
  <mergeCells count="2">
    <mergeCell ref="A1:G1"/>
    <mergeCell ref="A9:G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1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6" sqref="Q6"/>
    </sheetView>
  </sheetViews>
  <sheetFormatPr baseColWidth="10" defaultColWidth="8.7109375" defaultRowHeight="15" x14ac:dyDescent="0.25"/>
  <cols>
    <col min="1" max="1" width="4" customWidth="1"/>
    <col min="2" max="2" width="26" customWidth="1"/>
    <col min="3" max="3" width="20" customWidth="1"/>
    <col min="4" max="4" width="30" customWidth="1"/>
    <col min="5" max="5" width="12" customWidth="1"/>
    <col min="6" max="9" width="11" customWidth="1"/>
    <col min="10" max="10" width="8" customWidth="1"/>
    <col min="11" max="11" width="20" customWidth="1"/>
    <col min="12" max="13" width="14" customWidth="1"/>
    <col min="14" max="14" width="34" customWidth="1"/>
    <col min="15" max="16" width="14" customWidth="1"/>
    <col min="17" max="17" width="26" customWidth="1"/>
    <col min="18" max="18" width="22" customWidth="1"/>
  </cols>
  <sheetData>
    <row r="1" spans="1:18" ht="43.5" customHeight="1" x14ac:dyDescent="0.25">
      <c r="A1" s="3" t="s">
        <v>96</v>
      </c>
      <c r="B1" s="3" t="s">
        <v>50</v>
      </c>
      <c r="C1" s="3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105</v>
      </c>
      <c r="L1" s="3" t="s">
        <v>67</v>
      </c>
      <c r="M1" s="3" t="s">
        <v>68</v>
      </c>
      <c r="N1" s="3" t="s">
        <v>106</v>
      </c>
      <c r="O1" s="3" t="s">
        <v>107</v>
      </c>
      <c r="P1" s="3" t="s">
        <v>108</v>
      </c>
      <c r="Q1" s="3" t="s">
        <v>109</v>
      </c>
      <c r="R1" s="3" t="s">
        <v>110</v>
      </c>
    </row>
    <row r="2" spans="1:18" ht="51" customHeight="1" x14ac:dyDescent="0.25">
      <c r="A2" s="11">
        <v>1</v>
      </c>
      <c r="B2" s="13"/>
      <c r="C2" s="13"/>
      <c r="D2" s="13"/>
      <c r="E2" s="13"/>
      <c r="F2" s="13"/>
      <c r="G2" s="13"/>
      <c r="H2" s="13"/>
      <c r="I2" s="13"/>
      <c r="J2" s="14" t="str">
        <f t="shared" ref="J2:J33" si="0">IF(COUNTBLANK(F2:H2)&gt;0,"",F2*0.45+G2*0.35+H2*0.2)</f>
        <v/>
      </c>
      <c r="K2" s="14" t="str">
        <f>IF(J2="","",IF(OR(E2="Ja",E2="Yes"),"Tier 0 – Foundation",INDEX('Class-Matrix'!$B$4:$B$7,MATCH(J2,'Class-Matrix'!$A$4:$A$7,1))))</f>
        <v/>
      </c>
      <c r="L2" s="15" t="str">
        <f>IF(K2="","",VLOOKUP(K2,'Class-Matrix'!$B$12:$H$16,2,FALSE()))</f>
        <v/>
      </c>
      <c r="M2" s="15" t="str">
        <f>IF(K2="","",VLOOKUP(K2,'Class-Matrix'!$B$12:$H$16,3,FALSE()))</f>
        <v/>
      </c>
      <c r="N2" s="15" t="str">
        <f>IF(K2="","",VLOOKUP(K2,'Class-Matrix'!$B$12:$H$16,4,FALSE()))</f>
        <v/>
      </c>
      <c r="O2" s="13"/>
      <c r="P2" s="13"/>
      <c r="Q2" s="13"/>
      <c r="R2" s="13"/>
    </row>
    <row r="3" spans="1:18" ht="30" customHeight="1" x14ac:dyDescent="0.25">
      <c r="A3" s="11">
        <v>2</v>
      </c>
      <c r="B3" s="16"/>
      <c r="C3" s="16"/>
      <c r="D3" s="16"/>
      <c r="E3" s="16"/>
      <c r="F3" s="16"/>
      <c r="G3" s="16"/>
      <c r="H3" s="16"/>
      <c r="I3" s="16"/>
      <c r="J3" s="14" t="str">
        <f t="shared" si="0"/>
        <v/>
      </c>
      <c r="K3" s="14" t="str">
        <f>IF(J3="","",IF(OR(E3="Ja",E3="Yes"),"Tier 0 – Foundation",INDEX('Class-Matrix'!$B$4:$B$7,MATCH(J3,'Class-Matrix'!$A$4:$A$7,1))))</f>
        <v/>
      </c>
      <c r="L3" s="15" t="str">
        <f>IF(K3="","",VLOOKUP(K3,'Class-Matrix'!$B$12:$H$16,2,FALSE()))</f>
        <v/>
      </c>
      <c r="M3" s="15" t="str">
        <f>IF(K3="","",VLOOKUP(K3,'Class-Matrix'!$B$12:$H$16,3,FALSE()))</f>
        <v/>
      </c>
      <c r="N3" s="15" t="str">
        <f>IF(K3="","",VLOOKUP(K3,'Class-Matrix'!$B$12:$H$16,4,FALSE()))</f>
        <v/>
      </c>
      <c r="O3" s="16"/>
      <c r="P3" s="16"/>
      <c r="Q3" s="16"/>
      <c r="R3" s="16"/>
    </row>
    <row r="4" spans="1:18" ht="30" customHeight="1" x14ac:dyDescent="0.25">
      <c r="A4" s="11">
        <v>3</v>
      </c>
      <c r="B4" s="16"/>
      <c r="C4" s="16"/>
      <c r="D4" s="16"/>
      <c r="E4" s="16"/>
      <c r="F4" s="16"/>
      <c r="G4" s="16"/>
      <c r="H4" s="16"/>
      <c r="I4" s="16"/>
      <c r="J4" s="14" t="str">
        <f t="shared" si="0"/>
        <v/>
      </c>
      <c r="K4" s="14" t="str">
        <f>IF(J4="","",IF(OR(E4="Ja",E4="Yes"),"Tier 0 – Foundation",INDEX('Class-Matrix'!$B$4:$B$7,MATCH(J4,'Class-Matrix'!$A$4:$A$7,1))))</f>
        <v/>
      </c>
      <c r="L4" s="15" t="str">
        <f>IF(K4="","",VLOOKUP(K4,'Class-Matrix'!$B$12:$H$16,2,FALSE()))</f>
        <v/>
      </c>
      <c r="M4" s="15" t="str">
        <f>IF(K4="","",VLOOKUP(K4,'Class-Matrix'!$B$12:$H$16,3,FALSE()))</f>
        <v/>
      </c>
      <c r="N4" s="15" t="str">
        <f>IF(K4="","",VLOOKUP(K4,'Class-Matrix'!$B$12:$H$16,4,FALSE()))</f>
        <v/>
      </c>
      <c r="O4" s="16"/>
      <c r="P4" s="16"/>
      <c r="Q4" s="16"/>
      <c r="R4" s="16"/>
    </row>
    <row r="5" spans="1:18" ht="30" customHeight="1" x14ac:dyDescent="0.25">
      <c r="A5" s="11">
        <v>4</v>
      </c>
      <c r="B5" s="16"/>
      <c r="C5" s="16"/>
      <c r="D5" s="16"/>
      <c r="E5" s="16"/>
      <c r="F5" s="16"/>
      <c r="G5" s="16"/>
      <c r="H5" s="16"/>
      <c r="I5" s="16"/>
      <c r="J5" s="14" t="str">
        <f t="shared" si="0"/>
        <v/>
      </c>
      <c r="K5" s="14" t="str">
        <f>IF(J5="","",IF(OR(E5="Ja",E5="Yes"),"Tier 0 – Foundation",INDEX('Class-Matrix'!$B$4:$B$7,MATCH(J5,'Class-Matrix'!$A$4:$A$7,1))))</f>
        <v/>
      </c>
      <c r="L5" s="15" t="str">
        <f>IF(K5="","",VLOOKUP(K5,'Class-Matrix'!$B$12:$H$16,2,FALSE()))</f>
        <v/>
      </c>
      <c r="M5" s="15" t="str">
        <f>IF(K5="","",VLOOKUP(K5,'Class-Matrix'!$B$12:$H$16,3,FALSE()))</f>
        <v/>
      </c>
      <c r="N5" s="15" t="str">
        <f>IF(K5="","",VLOOKUP(K5,'Class-Matrix'!$B$12:$H$16,4,FALSE()))</f>
        <v/>
      </c>
      <c r="O5" s="16"/>
      <c r="P5" s="16"/>
      <c r="Q5" s="16"/>
      <c r="R5" s="16"/>
    </row>
    <row r="6" spans="1:18" ht="30" customHeight="1" x14ac:dyDescent="0.25">
      <c r="A6" s="11">
        <v>5</v>
      </c>
      <c r="B6" s="16"/>
      <c r="C6" s="16"/>
      <c r="D6" s="16"/>
      <c r="E6" s="16"/>
      <c r="F6" s="16"/>
      <c r="G6" s="16"/>
      <c r="H6" s="16"/>
      <c r="I6" s="16"/>
      <c r="J6" s="14" t="str">
        <f t="shared" si="0"/>
        <v/>
      </c>
      <c r="K6" s="14" t="str">
        <f>IF(J6="","",IF(OR(E6="Ja",E6="Yes"),"Tier 0 – Foundation",INDEX('Class-Matrix'!$B$4:$B$7,MATCH(J6,'Class-Matrix'!$A$4:$A$7,1))))</f>
        <v/>
      </c>
      <c r="L6" s="15" t="str">
        <f>IF(K6="","",VLOOKUP(K6,'Class-Matrix'!$B$12:$H$16,2,FALSE()))</f>
        <v/>
      </c>
      <c r="M6" s="15" t="str">
        <f>IF(K6="","",VLOOKUP(K6,'Class-Matrix'!$B$12:$H$16,3,FALSE()))</f>
        <v/>
      </c>
      <c r="N6" s="15" t="str">
        <f>IF(K6="","",VLOOKUP(K6,'Class-Matrix'!$B$12:$H$16,4,FALSE()))</f>
        <v/>
      </c>
      <c r="O6" s="16"/>
      <c r="P6" s="16"/>
      <c r="Q6" s="16"/>
      <c r="R6" s="16"/>
    </row>
    <row r="7" spans="1:18" ht="30" customHeight="1" x14ac:dyDescent="0.25">
      <c r="A7" s="11">
        <v>6</v>
      </c>
      <c r="B7" s="16"/>
      <c r="C7" s="16"/>
      <c r="D7" s="16"/>
      <c r="E7" s="16"/>
      <c r="F7" s="16"/>
      <c r="G7" s="16"/>
      <c r="H7" s="16"/>
      <c r="I7" s="16"/>
      <c r="J7" s="14" t="str">
        <f t="shared" si="0"/>
        <v/>
      </c>
      <c r="K7" s="14" t="str">
        <f>IF(J7="","",IF(OR(E7="Ja",E7="Yes"),"Tier 0 – Foundation",INDEX('Class-Matrix'!$B$4:$B$7,MATCH(J7,'Class-Matrix'!$A$4:$A$7,1))))</f>
        <v/>
      </c>
      <c r="L7" s="15" t="str">
        <f>IF(K7="","",VLOOKUP(K7,'Class-Matrix'!$B$12:$H$16,2,FALSE()))</f>
        <v/>
      </c>
      <c r="M7" s="15" t="str">
        <f>IF(K7="","",VLOOKUP(K7,'Class-Matrix'!$B$12:$H$16,3,FALSE()))</f>
        <v/>
      </c>
      <c r="N7" s="15" t="str">
        <f>IF(K7="","",VLOOKUP(K7,'Class-Matrix'!$B$12:$H$16,4,FALSE()))</f>
        <v/>
      </c>
      <c r="O7" s="16"/>
      <c r="P7" s="16"/>
      <c r="Q7" s="16"/>
      <c r="R7" s="16"/>
    </row>
    <row r="8" spans="1:18" ht="30" customHeight="1" x14ac:dyDescent="0.25">
      <c r="A8" s="11">
        <v>7</v>
      </c>
      <c r="B8" s="16"/>
      <c r="C8" s="16"/>
      <c r="D8" s="16"/>
      <c r="E8" s="16"/>
      <c r="F8" s="16"/>
      <c r="G8" s="16"/>
      <c r="H8" s="16"/>
      <c r="I8" s="16"/>
      <c r="J8" s="14" t="str">
        <f t="shared" si="0"/>
        <v/>
      </c>
      <c r="K8" s="14" t="str">
        <f>IF(J8="","",IF(OR(E8="Ja",E8="Yes"),"Tier 0 – Foundation",INDEX('Class-Matrix'!$B$4:$B$7,MATCH(J8,'Class-Matrix'!$A$4:$A$7,1))))</f>
        <v/>
      </c>
      <c r="L8" s="15" t="str">
        <f>IF(K8="","",VLOOKUP(K8,'Class-Matrix'!$B$12:$H$16,2,FALSE()))</f>
        <v/>
      </c>
      <c r="M8" s="15" t="str">
        <f>IF(K8="","",VLOOKUP(K8,'Class-Matrix'!$B$12:$H$16,3,FALSE()))</f>
        <v/>
      </c>
      <c r="N8" s="15" t="str">
        <f>IF(K8="","",VLOOKUP(K8,'Class-Matrix'!$B$12:$H$16,4,FALSE()))</f>
        <v/>
      </c>
      <c r="O8" s="16"/>
      <c r="P8" s="16"/>
      <c r="Q8" s="16"/>
      <c r="R8" s="16"/>
    </row>
    <row r="9" spans="1:18" ht="30" customHeight="1" x14ac:dyDescent="0.25">
      <c r="A9" s="11">
        <v>8</v>
      </c>
      <c r="B9" s="16"/>
      <c r="C9" s="16"/>
      <c r="D9" s="16"/>
      <c r="E9" s="16"/>
      <c r="F9" s="16"/>
      <c r="G9" s="16"/>
      <c r="H9" s="16"/>
      <c r="I9" s="16"/>
      <c r="J9" s="14" t="str">
        <f t="shared" si="0"/>
        <v/>
      </c>
      <c r="K9" s="14" t="str">
        <f>IF(J9="","",IF(OR(E9="Ja",E9="Yes"),"Tier 0 – Foundation",INDEX('Class-Matrix'!$B$4:$B$7,MATCH(J9,'Class-Matrix'!$A$4:$A$7,1))))</f>
        <v/>
      </c>
      <c r="L9" s="15" t="str">
        <f>IF(K9="","",VLOOKUP(K9,'Class-Matrix'!$B$12:$H$16,2,FALSE()))</f>
        <v/>
      </c>
      <c r="M9" s="15" t="str">
        <f>IF(K9="","",VLOOKUP(K9,'Class-Matrix'!$B$12:$H$16,3,FALSE()))</f>
        <v/>
      </c>
      <c r="N9" s="15" t="str">
        <f>IF(K9="","",VLOOKUP(K9,'Class-Matrix'!$B$12:$H$16,4,FALSE()))</f>
        <v/>
      </c>
      <c r="O9" s="16"/>
      <c r="P9" s="16"/>
      <c r="Q9" s="16"/>
      <c r="R9" s="16"/>
    </row>
    <row r="10" spans="1:18" ht="30" customHeight="1" x14ac:dyDescent="0.25">
      <c r="A10" s="11">
        <v>9</v>
      </c>
      <c r="B10" s="16"/>
      <c r="C10" s="16"/>
      <c r="D10" s="16"/>
      <c r="E10" s="16"/>
      <c r="F10" s="16"/>
      <c r="G10" s="16"/>
      <c r="H10" s="16"/>
      <c r="I10" s="16"/>
      <c r="J10" s="14" t="str">
        <f t="shared" si="0"/>
        <v/>
      </c>
      <c r="K10" s="14" t="str">
        <f>IF(J10="","",IF(OR(E10="Ja",E10="Yes"),"Tier 0 – Foundation",INDEX('Class-Matrix'!$B$4:$B$7,MATCH(J10,'Class-Matrix'!$A$4:$A$7,1))))</f>
        <v/>
      </c>
      <c r="L10" s="15" t="str">
        <f>IF(K10="","",VLOOKUP(K10,'Class-Matrix'!$B$12:$H$16,2,FALSE()))</f>
        <v/>
      </c>
      <c r="M10" s="15" t="str">
        <f>IF(K10="","",VLOOKUP(K10,'Class-Matrix'!$B$12:$H$16,3,FALSE()))</f>
        <v/>
      </c>
      <c r="N10" s="15" t="str">
        <f>IF(K10="","",VLOOKUP(K10,'Class-Matrix'!$B$12:$H$16,4,FALSE()))</f>
        <v/>
      </c>
      <c r="O10" s="16"/>
      <c r="P10" s="16"/>
      <c r="Q10" s="16"/>
      <c r="R10" s="16"/>
    </row>
    <row r="11" spans="1:18" ht="30" customHeight="1" x14ac:dyDescent="0.25">
      <c r="A11" s="11">
        <v>10</v>
      </c>
      <c r="B11" s="16"/>
      <c r="C11" s="16"/>
      <c r="D11" s="16"/>
      <c r="E11" s="16"/>
      <c r="F11" s="16"/>
      <c r="G11" s="16"/>
      <c r="H11" s="16"/>
      <c r="I11" s="16"/>
      <c r="J11" s="14" t="str">
        <f t="shared" si="0"/>
        <v/>
      </c>
      <c r="K11" s="14" t="str">
        <f>IF(J11="","",IF(OR(E11="Ja",E11="Yes"),"Tier 0 – Foundation",INDEX('Class-Matrix'!$B$4:$B$7,MATCH(J11,'Class-Matrix'!$A$4:$A$7,1))))</f>
        <v/>
      </c>
      <c r="L11" s="15" t="str">
        <f>IF(K11="","",VLOOKUP(K11,'Class-Matrix'!$B$12:$H$16,2,FALSE()))</f>
        <v/>
      </c>
      <c r="M11" s="15" t="str">
        <f>IF(K11="","",VLOOKUP(K11,'Class-Matrix'!$B$12:$H$16,3,FALSE()))</f>
        <v/>
      </c>
      <c r="N11" s="15" t="str">
        <f>IF(K11="","",VLOOKUP(K11,'Class-Matrix'!$B$12:$H$16,4,FALSE()))</f>
        <v/>
      </c>
      <c r="O11" s="16"/>
      <c r="P11" s="16"/>
      <c r="Q11" s="16"/>
      <c r="R11" s="16"/>
    </row>
    <row r="12" spans="1:18" ht="30" customHeight="1" x14ac:dyDescent="0.25">
      <c r="A12" s="11">
        <v>11</v>
      </c>
      <c r="B12" s="16"/>
      <c r="C12" s="16"/>
      <c r="D12" s="16"/>
      <c r="E12" s="16"/>
      <c r="F12" s="16"/>
      <c r="G12" s="16"/>
      <c r="H12" s="16"/>
      <c r="I12" s="16"/>
      <c r="J12" s="14" t="str">
        <f t="shared" si="0"/>
        <v/>
      </c>
      <c r="K12" s="14" t="str">
        <f>IF(J12="","",IF(OR(E12="Ja",E12="Yes"),"Tier 0 – Foundation",INDEX('Class-Matrix'!$B$4:$B$7,MATCH(J12,'Class-Matrix'!$A$4:$A$7,1))))</f>
        <v/>
      </c>
      <c r="L12" s="15" t="str">
        <f>IF(K12="","",VLOOKUP(K12,'Class-Matrix'!$B$12:$H$16,2,FALSE()))</f>
        <v/>
      </c>
      <c r="M12" s="15" t="str">
        <f>IF(K12="","",VLOOKUP(K12,'Class-Matrix'!$B$12:$H$16,3,FALSE()))</f>
        <v/>
      </c>
      <c r="N12" s="15" t="str">
        <f>IF(K12="","",VLOOKUP(K12,'Class-Matrix'!$B$12:$H$16,4,FALSE()))</f>
        <v/>
      </c>
      <c r="O12" s="16"/>
      <c r="P12" s="16"/>
      <c r="Q12" s="16"/>
      <c r="R12" s="16"/>
    </row>
    <row r="13" spans="1:18" ht="30" customHeight="1" x14ac:dyDescent="0.25">
      <c r="A13" s="11">
        <v>12</v>
      </c>
      <c r="B13" s="16"/>
      <c r="C13" s="16"/>
      <c r="D13" s="16"/>
      <c r="E13" s="16"/>
      <c r="F13" s="16"/>
      <c r="G13" s="16"/>
      <c r="H13" s="16"/>
      <c r="I13" s="16"/>
      <c r="J13" s="14" t="str">
        <f t="shared" si="0"/>
        <v/>
      </c>
      <c r="K13" s="14" t="str">
        <f>IF(J13="","",IF(OR(E13="Ja",E13="Yes"),"Tier 0 – Foundation",INDEX('Class-Matrix'!$B$4:$B$7,MATCH(J13,'Class-Matrix'!$A$4:$A$7,1))))</f>
        <v/>
      </c>
      <c r="L13" s="15" t="str">
        <f>IF(K13="","",VLOOKUP(K13,'Class-Matrix'!$B$12:$H$16,2,FALSE()))</f>
        <v/>
      </c>
      <c r="M13" s="15" t="str">
        <f>IF(K13="","",VLOOKUP(K13,'Class-Matrix'!$B$12:$H$16,3,FALSE()))</f>
        <v/>
      </c>
      <c r="N13" s="15" t="str">
        <f>IF(K13="","",VLOOKUP(K13,'Class-Matrix'!$B$12:$H$16,4,FALSE()))</f>
        <v/>
      </c>
      <c r="O13" s="16"/>
      <c r="P13" s="16"/>
      <c r="Q13" s="16"/>
      <c r="R13" s="16"/>
    </row>
    <row r="14" spans="1:18" ht="30" customHeight="1" x14ac:dyDescent="0.25">
      <c r="A14" s="11">
        <v>13</v>
      </c>
      <c r="B14" s="16"/>
      <c r="C14" s="16"/>
      <c r="D14" s="16"/>
      <c r="E14" s="16"/>
      <c r="F14" s="16"/>
      <c r="G14" s="16"/>
      <c r="H14" s="16"/>
      <c r="I14" s="16"/>
      <c r="J14" s="14" t="str">
        <f t="shared" si="0"/>
        <v/>
      </c>
      <c r="K14" s="14" t="str">
        <f>IF(J14="","",IF(OR(E14="Ja",E14="Yes"),"Tier 0 – Foundation",INDEX('Class-Matrix'!$B$4:$B$7,MATCH(J14,'Class-Matrix'!$A$4:$A$7,1))))</f>
        <v/>
      </c>
      <c r="L14" s="15" t="str">
        <f>IF(K14="","",VLOOKUP(K14,'Class-Matrix'!$B$12:$H$16,2,FALSE()))</f>
        <v/>
      </c>
      <c r="M14" s="15" t="str">
        <f>IF(K14="","",VLOOKUP(K14,'Class-Matrix'!$B$12:$H$16,3,FALSE()))</f>
        <v/>
      </c>
      <c r="N14" s="15" t="str">
        <f>IF(K14="","",VLOOKUP(K14,'Class-Matrix'!$B$12:$H$16,4,FALSE()))</f>
        <v/>
      </c>
      <c r="O14" s="16"/>
      <c r="P14" s="16"/>
      <c r="Q14" s="16"/>
      <c r="R14" s="16"/>
    </row>
    <row r="15" spans="1:18" ht="30" customHeight="1" x14ac:dyDescent="0.25">
      <c r="A15" s="11">
        <v>14</v>
      </c>
      <c r="B15" s="16"/>
      <c r="C15" s="16"/>
      <c r="D15" s="16"/>
      <c r="E15" s="16"/>
      <c r="F15" s="16"/>
      <c r="G15" s="16"/>
      <c r="H15" s="16"/>
      <c r="I15" s="16"/>
      <c r="J15" s="14" t="str">
        <f t="shared" si="0"/>
        <v/>
      </c>
      <c r="K15" s="14" t="str">
        <f>IF(J15="","",IF(OR(E15="Ja",E15="Yes"),"Tier 0 – Foundation",INDEX('Class-Matrix'!$B$4:$B$7,MATCH(J15,'Class-Matrix'!$A$4:$A$7,1))))</f>
        <v/>
      </c>
      <c r="L15" s="15" t="str">
        <f>IF(K15="","",VLOOKUP(K15,'Class-Matrix'!$B$12:$H$16,2,FALSE()))</f>
        <v/>
      </c>
      <c r="M15" s="15" t="str">
        <f>IF(K15="","",VLOOKUP(K15,'Class-Matrix'!$B$12:$H$16,3,FALSE()))</f>
        <v/>
      </c>
      <c r="N15" s="15" t="str">
        <f>IF(K15="","",VLOOKUP(K15,'Class-Matrix'!$B$12:$H$16,4,FALSE()))</f>
        <v/>
      </c>
      <c r="O15" s="16"/>
      <c r="P15" s="16"/>
      <c r="Q15" s="16"/>
      <c r="R15" s="16"/>
    </row>
    <row r="16" spans="1:18" ht="30" customHeight="1" x14ac:dyDescent="0.25">
      <c r="A16" s="11">
        <v>15</v>
      </c>
      <c r="B16" s="16"/>
      <c r="C16" s="16"/>
      <c r="D16" s="16"/>
      <c r="E16" s="16"/>
      <c r="F16" s="16"/>
      <c r="G16" s="16"/>
      <c r="H16" s="16"/>
      <c r="I16" s="16"/>
      <c r="J16" s="14" t="str">
        <f t="shared" si="0"/>
        <v/>
      </c>
      <c r="K16" s="14" t="str">
        <f>IF(J16="","",IF(OR(E16="Ja",E16="Yes"),"Tier 0 – Foundation",INDEX('Class-Matrix'!$B$4:$B$7,MATCH(J16,'Class-Matrix'!$A$4:$A$7,1))))</f>
        <v/>
      </c>
      <c r="L16" s="15" t="str">
        <f>IF(K16="","",VLOOKUP(K16,'Class-Matrix'!$B$12:$H$16,2,FALSE()))</f>
        <v/>
      </c>
      <c r="M16" s="15" t="str">
        <f>IF(K16="","",VLOOKUP(K16,'Class-Matrix'!$B$12:$H$16,3,FALSE()))</f>
        <v/>
      </c>
      <c r="N16" s="15" t="str">
        <f>IF(K16="","",VLOOKUP(K16,'Class-Matrix'!$B$12:$H$16,4,FALSE()))</f>
        <v/>
      </c>
      <c r="O16" s="16"/>
      <c r="P16" s="16"/>
      <c r="Q16" s="16"/>
      <c r="R16" s="16"/>
    </row>
    <row r="17" spans="1:18" ht="30" customHeight="1" x14ac:dyDescent="0.25">
      <c r="A17" s="11">
        <v>16</v>
      </c>
      <c r="B17" s="16"/>
      <c r="C17" s="16"/>
      <c r="D17" s="16"/>
      <c r="E17" s="16"/>
      <c r="F17" s="16"/>
      <c r="G17" s="16"/>
      <c r="H17" s="16"/>
      <c r="I17" s="16"/>
      <c r="J17" s="14" t="str">
        <f t="shared" si="0"/>
        <v/>
      </c>
      <c r="K17" s="14" t="str">
        <f>IF(J17="","",IF(OR(E17="Ja",E17="Yes"),"Tier 0 – Foundation",INDEX('Class-Matrix'!$B$4:$B$7,MATCH(J17,'Class-Matrix'!$A$4:$A$7,1))))</f>
        <v/>
      </c>
      <c r="L17" s="15" t="str">
        <f>IF(K17="","",VLOOKUP(K17,'Class-Matrix'!$B$12:$H$16,2,FALSE()))</f>
        <v/>
      </c>
      <c r="M17" s="15" t="str">
        <f>IF(K17="","",VLOOKUP(K17,'Class-Matrix'!$B$12:$H$16,3,FALSE()))</f>
        <v/>
      </c>
      <c r="N17" s="15" t="str">
        <f>IF(K17="","",VLOOKUP(K17,'Class-Matrix'!$B$12:$H$16,4,FALSE()))</f>
        <v/>
      </c>
      <c r="O17" s="16"/>
      <c r="P17" s="16"/>
      <c r="Q17" s="16"/>
      <c r="R17" s="16"/>
    </row>
    <row r="18" spans="1:18" ht="30" customHeight="1" x14ac:dyDescent="0.25">
      <c r="A18" s="11">
        <v>17</v>
      </c>
      <c r="B18" s="16"/>
      <c r="C18" s="16"/>
      <c r="D18" s="16"/>
      <c r="E18" s="16"/>
      <c r="F18" s="16"/>
      <c r="G18" s="16"/>
      <c r="H18" s="16"/>
      <c r="I18" s="16"/>
      <c r="J18" s="14" t="str">
        <f t="shared" si="0"/>
        <v/>
      </c>
      <c r="K18" s="14" t="str">
        <f>IF(J18="","",IF(OR(E18="Ja",E18="Yes"),"Tier 0 – Foundation",INDEX('Class-Matrix'!$B$4:$B$7,MATCH(J18,'Class-Matrix'!$A$4:$A$7,1))))</f>
        <v/>
      </c>
      <c r="L18" s="15" t="str">
        <f>IF(K18="","",VLOOKUP(K18,'Class-Matrix'!$B$12:$H$16,2,FALSE()))</f>
        <v/>
      </c>
      <c r="M18" s="15" t="str">
        <f>IF(K18="","",VLOOKUP(K18,'Class-Matrix'!$B$12:$H$16,3,FALSE()))</f>
        <v/>
      </c>
      <c r="N18" s="15" t="str">
        <f>IF(K18="","",VLOOKUP(K18,'Class-Matrix'!$B$12:$H$16,4,FALSE()))</f>
        <v/>
      </c>
      <c r="O18" s="16"/>
      <c r="P18" s="16"/>
      <c r="Q18" s="16"/>
      <c r="R18" s="16"/>
    </row>
    <row r="19" spans="1:18" ht="30" customHeight="1" x14ac:dyDescent="0.25">
      <c r="A19" s="11">
        <v>18</v>
      </c>
      <c r="B19" s="16"/>
      <c r="C19" s="16"/>
      <c r="D19" s="16"/>
      <c r="E19" s="16"/>
      <c r="F19" s="16"/>
      <c r="G19" s="16"/>
      <c r="H19" s="16"/>
      <c r="I19" s="16"/>
      <c r="J19" s="14" t="str">
        <f t="shared" si="0"/>
        <v/>
      </c>
      <c r="K19" s="14" t="str">
        <f>IF(J19="","",IF(OR(E19="Ja",E19="Yes"),"Tier 0 – Foundation",INDEX('Class-Matrix'!$B$4:$B$7,MATCH(J19,'Class-Matrix'!$A$4:$A$7,1))))</f>
        <v/>
      </c>
      <c r="L19" s="15" t="str">
        <f>IF(K19="","",VLOOKUP(K19,'Class-Matrix'!$B$12:$H$16,2,FALSE()))</f>
        <v/>
      </c>
      <c r="M19" s="15" t="str">
        <f>IF(K19="","",VLOOKUP(K19,'Class-Matrix'!$B$12:$H$16,3,FALSE()))</f>
        <v/>
      </c>
      <c r="N19" s="15" t="str">
        <f>IF(K19="","",VLOOKUP(K19,'Class-Matrix'!$B$12:$H$16,4,FALSE()))</f>
        <v/>
      </c>
      <c r="O19" s="16"/>
      <c r="P19" s="16"/>
      <c r="Q19" s="16"/>
      <c r="R19" s="16"/>
    </row>
    <row r="20" spans="1:18" ht="30" customHeight="1" x14ac:dyDescent="0.25">
      <c r="A20" s="11">
        <v>19</v>
      </c>
      <c r="B20" s="16"/>
      <c r="C20" s="16"/>
      <c r="D20" s="16"/>
      <c r="E20" s="16"/>
      <c r="F20" s="16"/>
      <c r="G20" s="16"/>
      <c r="H20" s="16"/>
      <c r="I20" s="16"/>
      <c r="J20" s="14" t="str">
        <f t="shared" si="0"/>
        <v/>
      </c>
      <c r="K20" s="14" t="str">
        <f>IF(J20="","",IF(OR(E20="Ja",E20="Yes"),"Tier 0 – Foundation",INDEX('Class-Matrix'!$B$4:$B$7,MATCH(J20,'Class-Matrix'!$A$4:$A$7,1))))</f>
        <v/>
      </c>
      <c r="L20" s="15" t="str">
        <f>IF(K20="","",VLOOKUP(K20,'Class-Matrix'!$B$12:$H$16,2,FALSE()))</f>
        <v/>
      </c>
      <c r="M20" s="15" t="str">
        <f>IF(K20="","",VLOOKUP(K20,'Class-Matrix'!$B$12:$H$16,3,FALSE()))</f>
        <v/>
      </c>
      <c r="N20" s="15" t="str">
        <f>IF(K20="","",VLOOKUP(K20,'Class-Matrix'!$B$12:$H$16,4,FALSE()))</f>
        <v/>
      </c>
      <c r="O20" s="16"/>
      <c r="P20" s="16"/>
      <c r="Q20" s="16"/>
      <c r="R20" s="16"/>
    </row>
    <row r="21" spans="1:18" ht="30" customHeight="1" x14ac:dyDescent="0.25">
      <c r="A21" s="11">
        <v>20</v>
      </c>
      <c r="B21" s="16"/>
      <c r="C21" s="16"/>
      <c r="D21" s="16"/>
      <c r="E21" s="16"/>
      <c r="F21" s="16"/>
      <c r="G21" s="16"/>
      <c r="H21" s="16"/>
      <c r="I21" s="16"/>
      <c r="J21" s="14" t="str">
        <f t="shared" si="0"/>
        <v/>
      </c>
      <c r="K21" s="14" t="str">
        <f>IF(J21="","",IF(OR(E21="Ja",E21="Yes"),"Tier 0 – Foundation",INDEX('Class-Matrix'!$B$4:$B$7,MATCH(J21,'Class-Matrix'!$A$4:$A$7,1))))</f>
        <v/>
      </c>
      <c r="L21" s="15" t="str">
        <f>IF(K21="","",VLOOKUP(K21,'Class-Matrix'!$B$12:$H$16,2,FALSE()))</f>
        <v/>
      </c>
      <c r="M21" s="15" t="str">
        <f>IF(K21="","",VLOOKUP(K21,'Class-Matrix'!$B$12:$H$16,3,FALSE()))</f>
        <v/>
      </c>
      <c r="N21" s="15" t="str">
        <f>IF(K21="","",VLOOKUP(K21,'Class-Matrix'!$B$12:$H$16,4,FALSE()))</f>
        <v/>
      </c>
      <c r="O21" s="16"/>
      <c r="P21" s="16"/>
      <c r="Q21" s="16"/>
      <c r="R21" s="16"/>
    </row>
    <row r="22" spans="1:18" ht="30" customHeight="1" x14ac:dyDescent="0.25">
      <c r="A22" s="11">
        <v>21</v>
      </c>
      <c r="B22" s="16"/>
      <c r="C22" s="16"/>
      <c r="D22" s="16"/>
      <c r="E22" s="16"/>
      <c r="F22" s="16"/>
      <c r="G22" s="16"/>
      <c r="H22" s="16"/>
      <c r="I22" s="16"/>
      <c r="J22" s="14" t="str">
        <f t="shared" si="0"/>
        <v/>
      </c>
      <c r="K22" s="14" t="str">
        <f>IF(J22="","",IF(OR(E22="Ja",E22="Yes"),"Tier 0 – Foundation",INDEX('Class-Matrix'!$B$4:$B$7,MATCH(J22,'Class-Matrix'!$A$4:$A$7,1))))</f>
        <v/>
      </c>
      <c r="L22" s="15" t="str">
        <f>IF(K22="","",VLOOKUP(K22,'Class-Matrix'!$B$12:$H$16,2,FALSE()))</f>
        <v/>
      </c>
      <c r="M22" s="15" t="str">
        <f>IF(K22="","",VLOOKUP(K22,'Class-Matrix'!$B$12:$H$16,3,FALSE()))</f>
        <v/>
      </c>
      <c r="N22" s="15" t="str">
        <f>IF(K22="","",VLOOKUP(K22,'Class-Matrix'!$B$12:$H$16,4,FALSE()))</f>
        <v/>
      </c>
      <c r="O22" s="16"/>
      <c r="P22" s="16"/>
      <c r="Q22" s="16"/>
      <c r="R22" s="16"/>
    </row>
    <row r="23" spans="1:18" ht="30" customHeight="1" x14ac:dyDescent="0.25">
      <c r="A23" s="11">
        <v>22</v>
      </c>
      <c r="B23" s="16"/>
      <c r="C23" s="16"/>
      <c r="D23" s="16"/>
      <c r="E23" s="16"/>
      <c r="F23" s="16"/>
      <c r="G23" s="16"/>
      <c r="H23" s="16"/>
      <c r="I23" s="16"/>
      <c r="J23" s="14" t="str">
        <f t="shared" si="0"/>
        <v/>
      </c>
      <c r="K23" s="14" t="str">
        <f>IF(J23="","",IF(OR(E23="Ja",E23="Yes"),"Tier 0 – Foundation",INDEX('Class-Matrix'!$B$4:$B$7,MATCH(J23,'Class-Matrix'!$A$4:$A$7,1))))</f>
        <v/>
      </c>
      <c r="L23" s="15" t="str">
        <f>IF(K23="","",VLOOKUP(K23,'Class-Matrix'!$B$12:$H$16,2,FALSE()))</f>
        <v/>
      </c>
      <c r="M23" s="15" t="str">
        <f>IF(K23="","",VLOOKUP(K23,'Class-Matrix'!$B$12:$H$16,3,FALSE()))</f>
        <v/>
      </c>
      <c r="N23" s="15" t="str">
        <f>IF(K23="","",VLOOKUP(K23,'Class-Matrix'!$B$12:$H$16,4,FALSE()))</f>
        <v/>
      </c>
      <c r="O23" s="16"/>
      <c r="P23" s="16"/>
      <c r="Q23" s="16"/>
      <c r="R23" s="16"/>
    </row>
    <row r="24" spans="1:18" ht="30" customHeight="1" x14ac:dyDescent="0.25">
      <c r="A24" s="11">
        <v>23</v>
      </c>
      <c r="B24" s="16"/>
      <c r="C24" s="16"/>
      <c r="D24" s="16"/>
      <c r="E24" s="16"/>
      <c r="F24" s="16"/>
      <c r="G24" s="16"/>
      <c r="H24" s="16"/>
      <c r="I24" s="16"/>
      <c r="J24" s="14" t="str">
        <f t="shared" si="0"/>
        <v/>
      </c>
      <c r="K24" s="14" t="str">
        <f>IF(J24="","",IF(OR(E24="Ja",E24="Yes"),"Tier 0 – Foundation",INDEX('Class-Matrix'!$B$4:$B$7,MATCH(J24,'Class-Matrix'!$A$4:$A$7,1))))</f>
        <v/>
      </c>
      <c r="L24" s="15" t="str">
        <f>IF(K24="","",VLOOKUP(K24,'Class-Matrix'!$B$12:$H$16,2,FALSE()))</f>
        <v/>
      </c>
      <c r="M24" s="15" t="str">
        <f>IF(K24="","",VLOOKUP(K24,'Class-Matrix'!$B$12:$H$16,3,FALSE()))</f>
        <v/>
      </c>
      <c r="N24" s="15" t="str">
        <f>IF(K24="","",VLOOKUP(K24,'Class-Matrix'!$B$12:$H$16,4,FALSE()))</f>
        <v/>
      </c>
      <c r="O24" s="16"/>
      <c r="P24" s="16"/>
      <c r="Q24" s="16"/>
      <c r="R24" s="16"/>
    </row>
    <row r="25" spans="1:18" ht="30" customHeight="1" x14ac:dyDescent="0.25">
      <c r="A25" s="11">
        <v>24</v>
      </c>
      <c r="B25" s="16"/>
      <c r="C25" s="16"/>
      <c r="D25" s="16"/>
      <c r="E25" s="16"/>
      <c r="F25" s="16"/>
      <c r="G25" s="16"/>
      <c r="H25" s="16"/>
      <c r="I25" s="16"/>
      <c r="J25" s="14" t="str">
        <f t="shared" si="0"/>
        <v/>
      </c>
      <c r="K25" s="14" t="str">
        <f>IF(J25="","",IF(OR(E25="Ja",E25="Yes"),"Tier 0 – Foundation",INDEX('Class-Matrix'!$B$4:$B$7,MATCH(J25,'Class-Matrix'!$A$4:$A$7,1))))</f>
        <v/>
      </c>
      <c r="L25" s="15" t="str">
        <f>IF(K25="","",VLOOKUP(K25,'Class-Matrix'!$B$12:$H$16,2,FALSE()))</f>
        <v/>
      </c>
      <c r="M25" s="15" t="str">
        <f>IF(K25="","",VLOOKUP(K25,'Class-Matrix'!$B$12:$H$16,3,FALSE()))</f>
        <v/>
      </c>
      <c r="N25" s="15" t="str">
        <f>IF(K25="","",VLOOKUP(K25,'Class-Matrix'!$B$12:$H$16,4,FALSE()))</f>
        <v/>
      </c>
      <c r="O25" s="16"/>
      <c r="P25" s="16"/>
      <c r="Q25" s="16"/>
      <c r="R25" s="16"/>
    </row>
    <row r="26" spans="1:18" ht="30" customHeight="1" x14ac:dyDescent="0.25">
      <c r="A26" s="11">
        <v>25</v>
      </c>
      <c r="B26" s="16"/>
      <c r="C26" s="16"/>
      <c r="D26" s="16"/>
      <c r="E26" s="16"/>
      <c r="F26" s="16"/>
      <c r="G26" s="16"/>
      <c r="H26" s="16"/>
      <c r="I26" s="16"/>
      <c r="J26" s="14" t="str">
        <f t="shared" si="0"/>
        <v/>
      </c>
      <c r="K26" s="14" t="str">
        <f>IF(J26="","",IF(OR(E26="Ja",E26="Yes"),"Tier 0 – Foundation",INDEX('Class-Matrix'!$B$4:$B$7,MATCH(J26,'Class-Matrix'!$A$4:$A$7,1))))</f>
        <v/>
      </c>
      <c r="L26" s="15" t="str">
        <f>IF(K26="","",VLOOKUP(K26,'Class-Matrix'!$B$12:$H$16,2,FALSE()))</f>
        <v/>
      </c>
      <c r="M26" s="15" t="str">
        <f>IF(K26="","",VLOOKUP(K26,'Class-Matrix'!$B$12:$H$16,3,FALSE()))</f>
        <v/>
      </c>
      <c r="N26" s="15" t="str">
        <f>IF(K26="","",VLOOKUP(K26,'Class-Matrix'!$B$12:$H$16,4,FALSE()))</f>
        <v/>
      </c>
      <c r="O26" s="16"/>
      <c r="P26" s="16"/>
      <c r="Q26" s="16"/>
      <c r="R26" s="16"/>
    </row>
    <row r="27" spans="1:18" ht="30" customHeight="1" x14ac:dyDescent="0.25">
      <c r="A27" s="11">
        <v>26</v>
      </c>
      <c r="B27" s="16"/>
      <c r="C27" s="16"/>
      <c r="D27" s="16"/>
      <c r="E27" s="16"/>
      <c r="F27" s="16"/>
      <c r="G27" s="16"/>
      <c r="H27" s="16"/>
      <c r="I27" s="16"/>
      <c r="J27" s="14" t="str">
        <f t="shared" si="0"/>
        <v/>
      </c>
      <c r="K27" s="14" t="str">
        <f>IF(J27="","",IF(OR(E27="Ja",E27="Yes"),"Tier 0 – Foundation",INDEX('Class-Matrix'!$B$4:$B$7,MATCH(J27,'Class-Matrix'!$A$4:$A$7,1))))</f>
        <v/>
      </c>
      <c r="L27" s="15" t="str">
        <f>IF(K27="","",VLOOKUP(K27,'Class-Matrix'!$B$12:$H$16,2,FALSE()))</f>
        <v/>
      </c>
      <c r="M27" s="15" t="str">
        <f>IF(K27="","",VLOOKUP(K27,'Class-Matrix'!$B$12:$H$16,3,FALSE()))</f>
        <v/>
      </c>
      <c r="N27" s="15" t="str">
        <f>IF(K27="","",VLOOKUP(K27,'Class-Matrix'!$B$12:$H$16,4,FALSE()))</f>
        <v/>
      </c>
      <c r="O27" s="16"/>
      <c r="P27" s="16"/>
      <c r="Q27" s="16"/>
      <c r="R27" s="16"/>
    </row>
    <row r="28" spans="1:18" ht="30" customHeight="1" x14ac:dyDescent="0.25">
      <c r="A28" s="11">
        <v>27</v>
      </c>
      <c r="B28" s="16"/>
      <c r="C28" s="16"/>
      <c r="D28" s="16"/>
      <c r="E28" s="16"/>
      <c r="F28" s="16"/>
      <c r="G28" s="16"/>
      <c r="H28" s="16"/>
      <c r="I28" s="16"/>
      <c r="J28" s="14" t="str">
        <f t="shared" si="0"/>
        <v/>
      </c>
      <c r="K28" s="14" t="str">
        <f>IF(J28="","",IF(OR(E28="Ja",E28="Yes"),"Tier 0 – Foundation",INDEX('Class-Matrix'!$B$4:$B$7,MATCH(J28,'Class-Matrix'!$A$4:$A$7,1))))</f>
        <v/>
      </c>
      <c r="L28" s="15" t="str">
        <f>IF(K28="","",VLOOKUP(K28,'Class-Matrix'!$B$12:$H$16,2,FALSE()))</f>
        <v/>
      </c>
      <c r="M28" s="15" t="str">
        <f>IF(K28="","",VLOOKUP(K28,'Class-Matrix'!$B$12:$H$16,3,FALSE()))</f>
        <v/>
      </c>
      <c r="N28" s="15" t="str">
        <f>IF(K28="","",VLOOKUP(K28,'Class-Matrix'!$B$12:$H$16,4,FALSE()))</f>
        <v/>
      </c>
      <c r="O28" s="16"/>
      <c r="P28" s="16"/>
      <c r="Q28" s="16"/>
      <c r="R28" s="16"/>
    </row>
    <row r="29" spans="1:18" ht="30" customHeight="1" x14ac:dyDescent="0.25">
      <c r="A29" s="11">
        <v>28</v>
      </c>
      <c r="B29" s="16"/>
      <c r="C29" s="16"/>
      <c r="D29" s="16"/>
      <c r="E29" s="16"/>
      <c r="F29" s="16"/>
      <c r="G29" s="16"/>
      <c r="H29" s="16"/>
      <c r="I29" s="16"/>
      <c r="J29" s="14" t="str">
        <f t="shared" si="0"/>
        <v/>
      </c>
      <c r="K29" s="14" t="str">
        <f>IF(J29="","",IF(OR(E29="Ja",E29="Yes"),"Tier 0 – Foundation",INDEX('Class-Matrix'!$B$4:$B$7,MATCH(J29,'Class-Matrix'!$A$4:$A$7,1))))</f>
        <v/>
      </c>
      <c r="L29" s="15" t="str">
        <f>IF(K29="","",VLOOKUP(K29,'Class-Matrix'!$B$12:$H$16,2,FALSE()))</f>
        <v/>
      </c>
      <c r="M29" s="15" t="str">
        <f>IF(K29="","",VLOOKUP(K29,'Class-Matrix'!$B$12:$H$16,3,FALSE()))</f>
        <v/>
      </c>
      <c r="N29" s="15" t="str">
        <f>IF(K29="","",VLOOKUP(K29,'Class-Matrix'!$B$12:$H$16,4,FALSE()))</f>
        <v/>
      </c>
      <c r="O29" s="16"/>
      <c r="P29" s="16"/>
      <c r="Q29" s="16"/>
      <c r="R29" s="16"/>
    </row>
    <row r="30" spans="1:18" ht="30" customHeight="1" x14ac:dyDescent="0.25">
      <c r="A30" s="11">
        <v>29</v>
      </c>
      <c r="B30" s="16"/>
      <c r="C30" s="16"/>
      <c r="D30" s="16"/>
      <c r="E30" s="16"/>
      <c r="F30" s="16"/>
      <c r="G30" s="16"/>
      <c r="H30" s="16"/>
      <c r="I30" s="16"/>
      <c r="J30" s="14" t="str">
        <f t="shared" si="0"/>
        <v/>
      </c>
      <c r="K30" s="14" t="str">
        <f>IF(J30="","",IF(OR(E30="Ja",E30="Yes"),"Tier 0 – Foundation",INDEX('Class-Matrix'!$B$4:$B$7,MATCH(J30,'Class-Matrix'!$A$4:$A$7,1))))</f>
        <v/>
      </c>
      <c r="L30" s="15" t="str">
        <f>IF(K30="","",VLOOKUP(K30,'Class-Matrix'!$B$12:$H$16,2,FALSE()))</f>
        <v/>
      </c>
      <c r="M30" s="15" t="str">
        <f>IF(K30="","",VLOOKUP(K30,'Class-Matrix'!$B$12:$H$16,3,FALSE()))</f>
        <v/>
      </c>
      <c r="N30" s="15" t="str">
        <f>IF(K30="","",VLOOKUP(K30,'Class-Matrix'!$B$12:$H$16,4,FALSE()))</f>
        <v/>
      </c>
      <c r="O30" s="16"/>
      <c r="P30" s="16"/>
      <c r="Q30" s="16"/>
      <c r="R30" s="16"/>
    </row>
    <row r="31" spans="1:18" ht="30" customHeight="1" x14ac:dyDescent="0.25">
      <c r="A31" s="11">
        <v>30</v>
      </c>
      <c r="B31" s="16"/>
      <c r="C31" s="16"/>
      <c r="D31" s="16"/>
      <c r="E31" s="16"/>
      <c r="F31" s="16"/>
      <c r="G31" s="16"/>
      <c r="H31" s="16"/>
      <c r="I31" s="16"/>
      <c r="J31" s="14" t="str">
        <f t="shared" si="0"/>
        <v/>
      </c>
      <c r="K31" s="14" t="str">
        <f>IF(J31="","",IF(OR(E31="Ja",E31="Yes"),"Tier 0 – Foundation",INDEX('Class-Matrix'!$B$4:$B$7,MATCH(J31,'Class-Matrix'!$A$4:$A$7,1))))</f>
        <v/>
      </c>
      <c r="L31" s="15" t="str">
        <f>IF(K31="","",VLOOKUP(K31,'Class-Matrix'!$B$12:$H$16,2,FALSE()))</f>
        <v/>
      </c>
      <c r="M31" s="15" t="str">
        <f>IF(K31="","",VLOOKUP(K31,'Class-Matrix'!$B$12:$H$16,3,FALSE()))</f>
        <v/>
      </c>
      <c r="N31" s="15" t="str">
        <f>IF(K31="","",VLOOKUP(K31,'Class-Matrix'!$B$12:$H$16,4,FALSE()))</f>
        <v/>
      </c>
      <c r="O31" s="16"/>
      <c r="P31" s="16"/>
      <c r="Q31" s="16"/>
      <c r="R31" s="16"/>
    </row>
    <row r="32" spans="1:18" ht="30" customHeight="1" x14ac:dyDescent="0.25">
      <c r="A32" s="11">
        <v>31</v>
      </c>
      <c r="B32" s="16"/>
      <c r="C32" s="16"/>
      <c r="D32" s="16"/>
      <c r="E32" s="16"/>
      <c r="F32" s="16"/>
      <c r="G32" s="16"/>
      <c r="H32" s="16"/>
      <c r="I32" s="16"/>
      <c r="J32" s="14" t="str">
        <f t="shared" si="0"/>
        <v/>
      </c>
      <c r="K32" s="14" t="str">
        <f>IF(J32="","",IF(OR(E32="Ja",E32="Yes"),"Tier 0 – Foundation",INDEX('Class-Matrix'!$B$4:$B$7,MATCH(J32,'Class-Matrix'!$A$4:$A$7,1))))</f>
        <v/>
      </c>
      <c r="L32" s="15" t="str">
        <f>IF(K32="","",VLOOKUP(K32,'Class-Matrix'!$B$12:$H$16,2,FALSE()))</f>
        <v/>
      </c>
      <c r="M32" s="15" t="str">
        <f>IF(K32="","",VLOOKUP(K32,'Class-Matrix'!$B$12:$H$16,3,FALSE()))</f>
        <v/>
      </c>
      <c r="N32" s="15" t="str">
        <f>IF(K32="","",VLOOKUP(K32,'Class-Matrix'!$B$12:$H$16,4,FALSE()))</f>
        <v/>
      </c>
      <c r="O32" s="16"/>
      <c r="P32" s="16"/>
      <c r="Q32" s="16"/>
      <c r="R32" s="16"/>
    </row>
    <row r="33" spans="1:18" ht="30" customHeight="1" x14ac:dyDescent="0.25">
      <c r="A33" s="11">
        <v>32</v>
      </c>
      <c r="B33" s="16"/>
      <c r="C33" s="16"/>
      <c r="D33" s="16"/>
      <c r="E33" s="16"/>
      <c r="F33" s="16"/>
      <c r="G33" s="16"/>
      <c r="H33" s="16"/>
      <c r="I33" s="16"/>
      <c r="J33" s="14" t="str">
        <f t="shared" si="0"/>
        <v/>
      </c>
      <c r="K33" s="14" t="str">
        <f>IF(J33="","",IF(OR(E33="Ja",E33="Yes"),"Tier 0 – Foundation",INDEX('Class-Matrix'!$B$4:$B$7,MATCH(J33,'Class-Matrix'!$A$4:$A$7,1))))</f>
        <v/>
      </c>
      <c r="L33" s="15" t="str">
        <f>IF(K33="","",VLOOKUP(K33,'Class-Matrix'!$B$12:$H$16,2,FALSE()))</f>
        <v/>
      </c>
      <c r="M33" s="15" t="str">
        <f>IF(K33="","",VLOOKUP(K33,'Class-Matrix'!$B$12:$H$16,3,FALSE()))</f>
        <v/>
      </c>
      <c r="N33" s="15" t="str">
        <f>IF(K33="","",VLOOKUP(K33,'Class-Matrix'!$B$12:$H$16,4,FALSE()))</f>
        <v/>
      </c>
      <c r="O33" s="16"/>
      <c r="P33" s="16"/>
      <c r="Q33" s="16"/>
      <c r="R33" s="16"/>
    </row>
    <row r="34" spans="1:18" ht="30" customHeight="1" x14ac:dyDescent="0.25">
      <c r="A34" s="11">
        <v>33</v>
      </c>
      <c r="B34" s="16"/>
      <c r="C34" s="16"/>
      <c r="D34" s="16"/>
      <c r="E34" s="16"/>
      <c r="F34" s="16"/>
      <c r="G34" s="16"/>
      <c r="H34" s="16"/>
      <c r="I34" s="16"/>
      <c r="J34" s="14" t="str">
        <f t="shared" ref="J34:J61" si="1">IF(COUNTBLANK(F34:H34)&gt;0,"",F34*0.45+G34*0.35+H34*0.2)</f>
        <v/>
      </c>
      <c r="K34" s="14" t="str">
        <f>IF(J34="","",IF(OR(E34="Ja",E34="Yes"),"Tier 0 – Foundation",INDEX('Class-Matrix'!$B$4:$B$7,MATCH(J34,'Class-Matrix'!$A$4:$A$7,1))))</f>
        <v/>
      </c>
      <c r="L34" s="15" t="str">
        <f>IF(K34="","",VLOOKUP(K34,'Class-Matrix'!$B$12:$H$16,2,FALSE()))</f>
        <v/>
      </c>
      <c r="M34" s="15" t="str">
        <f>IF(K34="","",VLOOKUP(K34,'Class-Matrix'!$B$12:$H$16,3,FALSE()))</f>
        <v/>
      </c>
      <c r="N34" s="15" t="str">
        <f>IF(K34="","",VLOOKUP(K34,'Class-Matrix'!$B$12:$H$16,4,FALSE()))</f>
        <v/>
      </c>
      <c r="O34" s="16"/>
      <c r="P34" s="16"/>
      <c r="Q34" s="16"/>
      <c r="R34" s="16"/>
    </row>
    <row r="35" spans="1:18" ht="30" customHeight="1" x14ac:dyDescent="0.25">
      <c r="A35" s="11">
        <v>34</v>
      </c>
      <c r="B35" s="16"/>
      <c r="C35" s="16"/>
      <c r="D35" s="16"/>
      <c r="E35" s="16"/>
      <c r="F35" s="16"/>
      <c r="G35" s="16"/>
      <c r="H35" s="16"/>
      <c r="I35" s="16"/>
      <c r="J35" s="14" t="str">
        <f t="shared" si="1"/>
        <v/>
      </c>
      <c r="K35" s="14" t="str">
        <f>IF(J35="","",IF(OR(E35="Ja",E35="Yes"),"Tier 0 – Foundation",INDEX('Class-Matrix'!$B$4:$B$7,MATCH(J35,'Class-Matrix'!$A$4:$A$7,1))))</f>
        <v/>
      </c>
      <c r="L35" s="15" t="str">
        <f>IF(K35="","",VLOOKUP(K35,'Class-Matrix'!$B$12:$H$16,2,FALSE()))</f>
        <v/>
      </c>
      <c r="M35" s="15" t="str">
        <f>IF(K35="","",VLOOKUP(K35,'Class-Matrix'!$B$12:$H$16,3,FALSE()))</f>
        <v/>
      </c>
      <c r="N35" s="15" t="str">
        <f>IF(K35="","",VLOOKUP(K35,'Class-Matrix'!$B$12:$H$16,4,FALSE()))</f>
        <v/>
      </c>
      <c r="O35" s="16"/>
      <c r="P35" s="16"/>
      <c r="Q35" s="16"/>
      <c r="R35" s="16"/>
    </row>
    <row r="36" spans="1:18" ht="30" customHeight="1" x14ac:dyDescent="0.25">
      <c r="A36" s="11">
        <v>35</v>
      </c>
      <c r="B36" s="16"/>
      <c r="C36" s="16"/>
      <c r="D36" s="16"/>
      <c r="E36" s="16"/>
      <c r="F36" s="16"/>
      <c r="G36" s="16"/>
      <c r="H36" s="16"/>
      <c r="I36" s="16"/>
      <c r="J36" s="14" t="str">
        <f t="shared" si="1"/>
        <v/>
      </c>
      <c r="K36" s="14" t="str">
        <f>IF(J36="","",IF(OR(E36="Ja",E36="Yes"),"Tier 0 – Foundation",INDEX('Class-Matrix'!$B$4:$B$7,MATCH(J36,'Class-Matrix'!$A$4:$A$7,1))))</f>
        <v/>
      </c>
      <c r="L36" s="15" t="str">
        <f>IF(K36="","",VLOOKUP(K36,'Class-Matrix'!$B$12:$H$16,2,FALSE()))</f>
        <v/>
      </c>
      <c r="M36" s="15" t="str">
        <f>IF(K36="","",VLOOKUP(K36,'Class-Matrix'!$B$12:$H$16,3,FALSE()))</f>
        <v/>
      </c>
      <c r="N36" s="15" t="str">
        <f>IF(K36="","",VLOOKUP(K36,'Class-Matrix'!$B$12:$H$16,4,FALSE()))</f>
        <v/>
      </c>
      <c r="O36" s="16"/>
      <c r="P36" s="16"/>
      <c r="Q36" s="16"/>
      <c r="R36" s="16"/>
    </row>
    <row r="37" spans="1:18" ht="30" customHeight="1" x14ac:dyDescent="0.25">
      <c r="A37" s="11">
        <v>36</v>
      </c>
      <c r="B37" s="16"/>
      <c r="C37" s="16"/>
      <c r="D37" s="16"/>
      <c r="E37" s="16"/>
      <c r="F37" s="16"/>
      <c r="G37" s="16"/>
      <c r="H37" s="16"/>
      <c r="I37" s="16"/>
      <c r="J37" s="14" t="str">
        <f t="shared" si="1"/>
        <v/>
      </c>
      <c r="K37" s="14" t="str">
        <f>IF(J37="","",IF(OR(E37="Ja",E37="Yes"),"Tier 0 – Foundation",INDEX('Class-Matrix'!$B$4:$B$7,MATCH(J37,'Class-Matrix'!$A$4:$A$7,1))))</f>
        <v/>
      </c>
      <c r="L37" s="15" t="str">
        <f>IF(K37="","",VLOOKUP(K37,'Class-Matrix'!$B$12:$H$16,2,FALSE()))</f>
        <v/>
      </c>
      <c r="M37" s="15" t="str">
        <f>IF(K37="","",VLOOKUP(K37,'Class-Matrix'!$B$12:$H$16,3,FALSE()))</f>
        <v/>
      </c>
      <c r="N37" s="15" t="str">
        <f>IF(K37="","",VLOOKUP(K37,'Class-Matrix'!$B$12:$H$16,4,FALSE()))</f>
        <v/>
      </c>
      <c r="O37" s="16"/>
      <c r="P37" s="16"/>
      <c r="Q37" s="16"/>
      <c r="R37" s="16"/>
    </row>
    <row r="38" spans="1:18" ht="30" customHeight="1" x14ac:dyDescent="0.25">
      <c r="A38" s="11">
        <v>37</v>
      </c>
      <c r="B38" s="16"/>
      <c r="C38" s="16"/>
      <c r="D38" s="16"/>
      <c r="E38" s="16"/>
      <c r="F38" s="16"/>
      <c r="G38" s="16"/>
      <c r="H38" s="16"/>
      <c r="I38" s="16"/>
      <c r="J38" s="14" t="str">
        <f t="shared" si="1"/>
        <v/>
      </c>
      <c r="K38" s="14" t="str">
        <f>IF(J38="","",IF(OR(E38="Ja",E38="Yes"),"Tier 0 – Foundation",INDEX('Class-Matrix'!$B$4:$B$7,MATCH(J38,'Class-Matrix'!$A$4:$A$7,1))))</f>
        <v/>
      </c>
      <c r="L38" s="15" t="str">
        <f>IF(K38="","",VLOOKUP(K38,'Class-Matrix'!$B$12:$H$16,2,FALSE()))</f>
        <v/>
      </c>
      <c r="M38" s="15" t="str">
        <f>IF(K38="","",VLOOKUP(K38,'Class-Matrix'!$B$12:$H$16,3,FALSE()))</f>
        <v/>
      </c>
      <c r="N38" s="15" t="str">
        <f>IF(K38="","",VLOOKUP(K38,'Class-Matrix'!$B$12:$H$16,4,FALSE()))</f>
        <v/>
      </c>
      <c r="O38" s="16"/>
      <c r="P38" s="16"/>
      <c r="Q38" s="16"/>
      <c r="R38" s="16"/>
    </row>
    <row r="39" spans="1:18" ht="30" customHeight="1" x14ac:dyDescent="0.25">
      <c r="A39" s="11">
        <v>38</v>
      </c>
      <c r="B39" s="16"/>
      <c r="C39" s="16"/>
      <c r="D39" s="16"/>
      <c r="E39" s="16"/>
      <c r="F39" s="16"/>
      <c r="G39" s="16"/>
      <c r="H39" s="16"/>
      <c r="I39" s="16"/>
      <c r="J39" s="14" t="str">
        <f t="shared" si="1"/>
        <v/>
      </c>
      <c r="K39" s="14" t="str">
        <f>IF(J39="","",IF(OR(E39="Ja",E39="Yes"),"Tier 0 – Foundation",INDEX('Class-Matrix'!$B$4:$B$7,MATCH(J39,'Class-Matrix'!$A$4:$A$7,1))))</f>
        <v/>
      </c>
      <c r="L39" s="15" t="str">
        <f>IF(K39="","",VLOOKUP(K39,'Class-Matrix'!$B$12:$H$16,2,FALSE()))</f>
        <v/>
      </c>
      <c r="M39" s="15" t="str">
        <f>IF(K39="","",VLOOKUP(K39,'Class-Matrix'!$B$12:$H$16,3,FALSE()))</f>
        <v/>
      </c>
      <c r="N39" s="15" t="str">
        <f>IF(K39="","",VLOOKUP(K39,'Class-Matrix'!$B$12:$H$16,4,FALSE()))</f>
        <v/>
      </c>
      <c r="O39" s="16"/>
      <c r="P39" s="16"/>
      <c r="Q39" s="16"/>
      <c r="R39" s="16"/>
    </row>
    <row r="40" spans="1:18" ht="30" customHeight="1" x14ac:dyDescent="0.25">
      <c r="A40" s="11">
        <v>39</v>
      </c>
      <c r="B40" s="16"/>
      <c r="C40" s="16"/>
      <c r="D40" s="16"/>
      <c r="E40" s="16"/>
      <c r="F40" s="16"/>
      <c r="G40" s="16"/>
      <c r="H40" s="16"/>
      <c r="I40" s="16"/>
      <c r="J40" s="14" t="str">
        <f t="shared" si="1"/>
        <v/>
      </c>
      <c r="K40" s="14" t="str">
        <f>IF(J40="","",IF(OR(E40="Ja",E40="Yes"),"Tier 0 – Foundation",INDEX('Class-Matrix'!$B$4:$B$7,MATCH(J40,'Class-Matrix'!$A$4:$A$7,1))))</f>
        <v/>
      </c>
      <c r="L40" s="15" t="str">
        <f>IF(K40="","",VLOOKUP(K40,'Class-Matrix'!$B$12:$H$16,2,FALSE()))</f>
        <v/>
      </c>
      <c r="M40" s="15" t="str">
        <f>IF(K40="","",VLOOKUP(K40,'Class-Matrix'!$B$12:$H$16,3,FALSE()))</f>
        <v/>
      </c>
      <c r="N40" s="15" t="str">
        <f>IF(K40="","",VLOOKUP(K40,'Class-Matrix'!$B$12:$H$16,4,FALSE()))</f>
        <v/>
      </c>
      <c r="O40" s="16"/>
      <c r="P40" s="16"/>
      <c r="Q40" s="16"/>
      <c r="R40" s="16"/>
    </row>
    <row r="41" spans="1:18" ht="30" customHeight="1" x14ac:dyDescent="0.25">
      <c r="A41" s="11">
        <v>40</v>
      </c>
      <c r="B41" s="16"/>
      <c r="C41" s="16"/>
      <c r="D41" s="16"/>
      <c r="E41" s="16"/>
      <c r="F41" s="16"/>
      <c r="G41" s="16"/>
      <c r="H41" s="16"/>
      <c r="I41" s="16"/>
      <c r="J41" s="14" t="str">
        <f t="shared" si="1"/>
        <v/>
      </c>
      <c r="K41" s="14" t="str">
        <f>IF(J41="","",IF(OR(E41="Ja",E41="Yes"),"Tier 0 – Foundation",INDEX('Class-Matrix'!$B$4:$B$7,MATCH(J41,'Class-Matrix'!$A$4:$A$7,1))))</f>
        <v/>
      </c>
      <c r="L41" s="15" t="str">
        <f>IF(K41="","",VLOOKUP(K41,'Class-Matrix'!$B$12:$H$16,2,FALSE()))</f>
        <v/>
      </c>
      <c r="M41" s="15" t="str">
        <f>IF(K41="","",VLOOKUP(K41,'Class-Matrix'!$B$12:$H$16,3,FALSE()))</f>
        <v/>
      </c>
      <c r="N41" s="15" t="str">
        <f>IF(K41="","",VLOOKUP(K41,'Class-Matrix'!$B$12:$H$16,4,FALSE()))</f>
        <v/>
      </c>
      <c r="O41" s="16"/>
      <c r="P41" s="16"/>
      <c r="Q41" s="16"/>
      <c r="R41" s="16"/>
    </row>
    <row r="42" spans="1:18" ht="30" customHeight="1" x14ac:dyDescent="0.25">
      <c r="A42" s="11">
        <v>41</v>
      </c>
      <c r="B42" s="16"/>
      <c r="C42" s="16"/>
      <c r="D42" s="16"/>
      <c r="E42" s="16"/>
      <c r="F42" s="16"/>
      <c r="G42" s="16"/>
      <c r="H42" s="16"/>
      <c r="I42" s="16"/>
      <c r="J42" s="14" t="str">
        <f t="shared" si="1"/>
        <v/>
      </c>
      <c r="K42" s="14" t="str">
        <f>IF(J42="","",IF(OR(E42="Ja",E42="Yes"),"Tier 0 – Foundation",INDEX('Class-Matrix'!$B$4:$B$7,MATCH(J42,'Class-Matrix'!$A$4:$A$7,1))))</f>
        <v/>
      </c>
      <c r="L42" s="15" t="str">
        <f>IF(K42="","",VLOOKUP(K42,'Class-Matrix'!$B$12:$H$16,2,FALSE()))</f>
        <v/>
      </c>
      <c r="M42" s="15" t="str">
        <f>IF(K42="","",VLOOKUP(K42,'Class-Matrix'!$B$12:$H$16,3,FALSE()))</f>
        <v/>
      </c>
      <c r="N42" s="15" t="str">
        <f>IF(K42="","",VLOOKUP(K42,'Class-Matrix'!$B$12:$H$16,4,FALSE()))</f>
        <v/>
      </c>
      <c r="O42" s="16"/>
      <c r="P42" s="16"/>
      <c r="Q42" s="16"/>
      <c r="R42" s="16"/>
    </row>
    <row r="43" spans="1:18" ht="30" customHeight="1" x14ac:dyDescent="0.25">
      <c r="A43" s="11">
        <v>42</v>
      </c>
      <c r="B43" s="16"/>
      <c r="C43" s="16"/>
      <c r="D43" s="16"/>
      <c r="E43" s="16"/>
      <c r="F43" s="16"/>
      <c r="G43" s="16"/>
      <c r="H43" s="16"/>
      <c r="I43" s="16"/>
      <c r="J43" s="14" t="str">
        <f t="shared" si="1"/>
        <v/>
      </c>
      <c r="K43" s="14" t="str">
        <f>IF(J43="","",IF(OR(E43="Ja",E43="Yes"),"Tier 0 – Foundation",INDEX('Class-Matrix'!$B$4:$B$7,MATCH(J43,'Class-Matrix'!$A$4:$A$7,1))))</f>
        <v/>
      </c>
      <c r="L43" s="15" t="str">
        <f>IF(K43="","",VLOOKUP(K43,'Class-Matrix'!$B$12:$H$16,2,FALSE()))</f>
        <v/>
      </c>
      <c r="M43" s="15" t="str">
        <f>IF(K43="","",VLOOKUP(K43,'Class-Matrix'!$B$12:$H$16,3,FALSE()))</f>
        <v/>
      </c>
      <c r="N43" s="15" t="str">
        <f>IF(K43="","",VLOOKUP(K43,'Class-Matrix'!$B$12:$H$16,4,FALSE()))</f>
        <v/>
      </c>
      <c r="O43" s="16"/>
      <c r="P43" s="16"/>
      <c r="Q43" s="16"/>
      <c r="R43" s="16"/>
    </row>
    <row r="44" spans="1:18" ht="30" customHeight="1" x14ac:dyDescent="0.25">
      <c r="A44" s="11">
        <v>43</v>
      </c>
      <c r="B44" s="16"/>
      <c r="C44" s="16"/>
      <c r="D44" s="16"/>
      <c r="E44" s="16"/>
      <c r="F44" s="16"/>
      <c r="G44" s="16"/>
      <c r="H44" s="16"/>
      <c r="I44" s="16"/>
      <c r="J44" s="14" t="str">
        <f t="shared" si="1"/>
        <v/>
      </c>
      <c r="K44" s="14" t="str">
        <f>IF(J44="","",IF(OR(E44="Ja",E44="Yes"),"Tier 0 – Foundation",INDEX('Class-Matrix'!$B$4:$B$7,MATCH(J44,'Class-Matrix'!$A$4:$A$7,1))))</f>
        <v/>
      </c>
      <c r="L44" s="15" t="str">
        <f>IF(K44="","",VLOOKUP(K44,'Class-Matrix'!$B$12:$H$16,2,FALSE()))</f>
        <v/>
      </c>
      <c r="M44" s="15" t="str">
        <f>IF(K44="","",VLOOKUP(K44,'Class-Matrix'!$B$12:$H$16,3,FALSE()))</f>
        <v/>
      </c>
      <c r="N44" s="15" t="str">
        <f>IF(K44="","",VLOOKUP(K44,'Class-Matrix'!$B$12:$H$16,4,FALSE()))</f>
        <v/>
      </c>
      <c r="O44" s="16"/>
      <c r="P44" s="16"/>
      <c r="Q44" s="16"/>
      <c r="R44" s="16"/>
    </row>
    <row r="45" spans="1:18" ht="30" customHeight="1" x14ac:dyDescent="0.25">
      <c r="A45" s="11">
        <v>44</v>
      </c>
      <c r="B45" s="16"/>
      <c r="C45" s="16"/>
      <c r="D45" s="16"/>
      <c r="E45" s="16"/>
      <c r="F45" s="16"/>
      <c r="G45" s="16"/>
      <c r="H45" s="16"/>
      <c r="I45" s="16"/>
      <c r="J45" s="14" t="str">
        <f t="shared" si="1"/>
        <v/>
      </c>
      <c r="K45" s="14" t="str">
        <f>IF(J45="","",IF(OR(E45="Ja",E45="Yes"),"Tier 0 – Foundation",INDEX('Class-Matrix'!$B$4:$B$7,MATCH(J45,'Class-Matrix'!$A$4:$A$7,1))))</f>
        <v/>
      </c>
      <c r="L45" s="15" t="str">
        <f>IF(K45="","",VLOOKUP(K45,'Class-Matrix'!$B$12:$H$16,2,FALSE()))</f>
        <v/>
      </c>
      <c r="M45" s="15" t="str">
        <f>IF(K45="","",VLOOKUP(K45,'Class-Matrix'!$B$12:$H$16,3,FALSE()))</f>
        <v/>
      </c>
      <c r="N45" s="15" t="str">
        <f>IF(K45="","",VLOOKUP(K45,'Class-Matrix'!$B$12:$H$16,4,FALSE()))</f>
        <v/>
      </c>
      <c r="O45" s="16"/>
      <c r="P45" s="16"/>
      <c r="Q45" s="16"/>
      <c r="R45" s="16"/>
    </row>
    <row r="46" spans="1:18" ht="30" customHeight="1" x14ac:dyDescent="0.25">
      <c r="A46" s="11">
        <v>45</v>
      </c>
      <c r="B46" s="16"/>
      <c r="C46" s="16"/>
      <c r="D46" s="16"/>
      <c r="E46" s="16"/>
      <c r="F46" s="16"/>
      <c r="G46" s="16"/>
      <c r="H46" s="16"/>
      <c r="I46" s="16"/>
      <c r="J46" s="14" t="str">
        <f t="shared" si="1"/>
        <v/>
      </c>
      <c r="K46" s="14" t="str">
        <f>IF(J46="","",IF(OR(E46="Ja",E46="Yes"),"Tier 0 – Foundation",INDEX('Class-Matrix'!$B$4:$B$7,MATCH(J46,'Class-Matrix'!$A$4:$A$7,1))))</f>
        <v/>
      </c>
      <c r="L46" s="15" t="str">
        <f>IF(K46="","",VLOOKUP(K46,'Class-Matrix'!$B$12:$H$16,2,FALSE()))</f>
        <v/>
      </c>
      <c r="M46" s="15" t="str">
        <f>IF(K46="","",VLOOKUP(K46,'Class-Matrix'!$B$12:$H$16,3,FALSE()))</f>
        <v/>
      </c>
      <c r="N46" s="15" t="str">
        <f>IF(K46="","",VLOOKUP(K46,'Class-Matrix'!$B$12:$H$16,4,FALSE()))</f>
        <v/>
      </c>
      <c r="O46" s="16"/>
      <c r="P46" s="16"/>
      <c r="Q46" s="16"/>
      <c r="R46" s="16"/>
    </row>
    <row r="47" spans="1:18" ht="30" customHeight="1" x14ac:dyDescent="0.25">
      <c r="A47" s="11">
        <v>46</v>
      </c>
      <c r="B47" s="16"/>
      <c r="C47" s="16"/>
      <c r="D47" s="16"/>
      <c r="E47" s="16"/>
      <c r="F47" s="16"/>
      <c r="G47" s="16"/>
      <c r="H47" s="16"/>
      <c r="I47" s="16"/>
      <c r="J47" s="14" t="str">
        <f t="shared" si="1"/>
        <v/>
      </c>
      <c r="K47" s="14" t="str">
        <f>IF(J47="","",IF(OR(E47="Ja",E47="Yes"),"Tier 0 – Foundation",INDEX('Class-Matrix'!$B$4:$B$7,MATCH(J47,'Class-Matrix'!$A$4:$A$7,1))))</f>
        <v/>
      </c>
      <c r="L47" s="15" t="str">
        <f>IF(K47="","",VLOOKUP(K47,'Class-Matrix'!$B$12:$H$16,2,FALSE()))</f>
        <v/>
      </c>
      <c r="M47" s="15" t="str">
        <f>IF(K47="","",VLOOKUP(K47,'Class-Matrix'!$B$12:$H$16,3,FALSE()))</f>
        <v/>
      </c>
      <c r="N47" s="15" t="str">
        <f>IF(K47="","",VLOOKUP(K47,'Class-Matrix'!$B$12:$H$16,4,FALSE()))</f>
        <v/>
      </c>
      <c r="O47" s="16"/>
      <c r="P47" s="16"/>
      <c r="Q47" s="16"/>
      <c r="R47" s="16"/>
    </row>
    <row r="48" spans="1:18" ht="30" customHeight="1" x14ac:dyDescent="0.25">
      <c r="A48" s="11">
        <v>47</v>
      </c>
      <c r="B48" s="16"/>
      <c r="C48" s="16"/>
      <c r="D48" s="16"/>
      <c r="E48" s="16"/>
      <c r="F48" s="16"/>
      <c r="G48" s="16"/>
      <c r="H48" s="16"/>
      <c r="I48" s="16"/>
      <c r="J48" s="14" t="str">
        <f t="shared" si="1"/>
        <v/>
      </c>
      <c r="K48" s="14" t="str">
        <f>IF(J48="","",IF(OR(E48="Ja",E48="Yes"),"Tier 0 – Foundation",INDEX('Class-Matrix'!$B$4:$B$7,MATCH(J48,'Class-Matrix'!$A$4:$A$7,1))))</f>
        <v/>
      </c>
      <c r="L48" s="15" t="str">
        <f>IF(K48="","",VLOOKUP(K48,'Class-Matrix'!$B$12:$H$16,2,FALSE()))</f>
        <v/>
      </c>
      <c r="M48" s="15" t="str">
        <f>IF(K48="","",VLOOKUP(K48,'Class-Matrix'!$B$12:$H$16,3,FALSE()))</f>
        <v/>
      </c>
      <c r="N48" s="15" t="str">
        <f>IF(K48="","",VLOOKUP(K48,'Class-Matrix'!$B$12:$H$16,4,FALSE()))</f>
        <v/>
      </c>
      <c r="O48" s="16"/>
      <c r="P48" s="16"/>
      <c r="Q48" s="16"/>
      <c r="R48" s="16"/>
    </row>
    <row r="49" spans="1:18" ht="30" customHeight="1" x14ac:dyDescent="0.25">
      <c r="A49" s="11">
        <v>48</v>
      </c>
      <c r="B49" s="16"/>
      <c r="C49" s="16"/>
      <c r="D49" s="16"/>
      <c r="E49" s="16"/>
      <c r="F49" s="16"/>
      <c r="G49" s="16"/>
      <c r="H49" s="16"/>
      <c r="I49" s="16"/>
      <c r="J49" s="14" t="str">
        <f t="shared" si="1"/>
        <v/>
      </c>
      <c r="K49" s="14" t="str">
        <f>IF(J49="","",IF(OR(E49="Ja",E49="Yes"),"Tier 0 – Foundation",INDEX('Class-Matrix'!$B$4:$B$7,MATCH(J49,'Class-Matrix'!$A$4:$A$7,1))))</f>
        <v/>
      </c>
      <c r="L49" s="15" t="str">
        <f>IF(K49="","",VLOOKUP(K49,'Class-Matrix'!$B$12:$H$16,2,FALSE()))</f>
        <v/>
      </c>
      <c r="M49" s="15" t="str">
        <f>IF(K49="","",VLOOKUP(K49,'Class-Matrix'!$B$12:$H$16,3,FALSE()))</f>
        <v/>
      </c>
      <c r="N49" s="15" t="str">
        <f>IF(K49="","",VLOOKUP(K49,'Class-Matrix'!$B$12:$H$16,4,FALSE()))</f>
        <v/>
      </c>
      <c r="O49" s="16"/>
      <c r="P49" s="16"/>
      <c r="Q49" s="16"/>
      <c r="R49" s="16"/>
    </row>
    <row r="50" spans="1:18" ht="30" customHeight="1" x14ac:dyDescent="0.25">
      <c r="A50" s="11">
        <v>49</v>
      </c>
      <c r="B50" s="16"/>
      <c r="C50" s="16"/>
      <c r="D50" s="16"/>
      <c r="E50" s="16"/>
      <c r="F50" s="16"/>
      <c r="G50" s="16"/>
      <c r="H50" s="16"/>
      <c r="I50" s="16"/>
      <c r="J50" s="14" t="str">
        <f t="shared" si="1"/>
        <v/>
      </c>
      <c r="K50" s="14" t="str">
        <f>IF(J50="","",IF(OR(E50="Ja",E50="Yes"),"Tier 0 – Foundation",INDEX('Class-Matrix'!$B$4:$B$7,MATCH(J50,'Class-Matrix'!$A$4:$A$7,1))))</f>
        <v/>
      </c>
      <c r="L50" s="15" t="str">
        <f>IF(K50="","",VLOOKUP(K50,'Class-Matrix'!$B$12:$H$16,2,FALSE()))</f>
        <v/>
      </c>
      <c r="M50" s="15" t="str">
        <f>IF(K50="","",VLOOKUP(K50,'Class-Matrix'!$B$12:$H$16,3,FALSE()))</f>
        <v/>
      </c>
      <c r="N50" s="15" t="str">
        <f>IF(K50="","",VLOOKUP(K50,'Class-Matrix'!$B$12:$H$16,4,FALSE()))</f>
        <v/>
      </c>
      <c r="O50" s="16"/>
      <c r="P50" s="16"/>
      <c r="Q50" s="16"/>
      <c r="R50" s="16"/>
    </row>
    <row r="51" spans="1:18" ht="30" customHeight="1" x14ac:dyDescent="0.25">
      <c r="A51" s="11">
        <v>50</v>
      </c>
      <c r="B51" s="16"/>
      <c r="C51" s="16"/>
      <c r="D51" s="16"/>
      <c r="E51" s="16"/>
      <c r="F51" s="16"/>
      <c r="G51" s="16"/>
      <c r="H51" s="16"/>
      <c r="I51" s="16"/>
      <c r="J51" s="14" t="str">
        <f t="shared" si="1"/>
        <v/>
      </c>
      <c r="K51" s="14" t="str">
        <f>IF(J51="","",IF(OR(E51="Ja",E51="Yes"),"Tier 0 – Foundation",INDEX('Class-Matrix'!$B$4:$B$7,MATCH(J51,'Class-Matrix'!$A$4:$A$7,1))))</f>
        <v/>
      </c>
      <c r="L51" s="15" t="str">
        <f>IF(K51="","",VLOOKUP(K51,'Class-Matrix'!$B$12:$H$16,2,FALSE()))</f>
        <v/>
      </c>
      <c r="M51" s="15" t="str">
        <f>IF(K51="","",VLOOKUP(K51,'Class-Matrix'!$B$12:$H$16,3,FALSE()))</f>
        <v/>
      </c>
      <c r="N51" s="15" t="str">
        <f>IF(K51="","",VLOOKUP(K51,'Class-Matrix'!$B$12:$H$16,4,FALSE()))</f>
        <v/>
      </c>
      <c r="O51" s="16"/>
      <c r="P51" s="16"/>
      <c r="Q51" s="16"/>
      <c r="R51" s="16"/>
    </row>
    <row r="52" spans="1:18" ht="30" customHeight="1" x14ac:dyDescent="0.25">
      <c r="A52" s="11">
        <v>51</v>
      </c>
      <c r="B52" s="16"/>
      <c r="C52" s="16"/>
      <c r="D52" s="16"/>
      <c r="E52" s="16"/>
      <c r="F52" s="16"/>
      <c r="G52" s="16"/>
      <c r="H52" s="16"/>
      <c r="I52" s="16"/>
      <c r="J52" s="14" t="str">
        <f t="shared" si="1"/>
        <v/>
      </c>
      <c r="K52" s="14" t="str">
        <f>IF(J52="","",IF(OR(E52="Ja",E52="Yes"),"Tier 0 – Foundation",INDEX('Class-Matrix'!$B$4:$B$7,MATCH(J52,'Class-Matrix'!$A$4:$A$7,1))))</f>
        <v/>
      </c>
      <c r="L52" s="15" t="str">
        <f>IF(K52="","",VLOOKUP(K52,'Class-Matrix'!$B$12:$H$16,2,FALSE()))</f>
        <v/>
      </c>
      <c r="M52" s="15" t="str">
        <f>IF(K52="","",VLOOKUP(K52,'Class-Matrix'!$B$12:$H$16,3,FALSE()))</f>
        <v/>
      </c>
      <c r="N52" s="15" t="str">
        <f>IF(K52="","",VLOOKUP(K52,'Class-Matrix'!$B$12:$H$16,4,FALSE()))</f>
        <v/>
      </c>
      <c r="O52" s="16"/>
      <c r="P52" s="16"/>
      <c r="Q52" s="16"/>
      <c r="R52" s="16"/>
    </row>
    <row r="53" spans="1:18" ht="30" customHeight="1" x14ac:dyDescent="0.25">
      <c r="A53" s="11">
        <v>52</v>
      </c>
      <c r="B53" s="16"/>
      <c r="C53" s="16"/>
      <c r="D53" s="16"/>
      <c r="E53" s="16"/>
      <c r="F53" s="16"/>
      <c r="G53" s="16"/>
      <c r="H53" s="16"/>
      <c r="I53" s="16"/>
      <c r="J53" s="14" t="str">
        <f t="shared" si="1"/>
        <v/>
      </c>
      <c r="K53" s="14" t="str">
        <f>IF(J53="","",IF(OR(E53="Ja",E53="Yes"),"Tier 0 – Foundation",INDEX('Class-Matrix'!$B$4:$B$7,MATCH(J53,'Class-Matrix'!$A$4:$A$7,1))))</f>
        <v/>
      </c>
      <c r="L53" s="15" t="str">
        <f>IF(K53="","",VLOOKUP(K53,'Class-Matrix'!$B$12:$H$16,2,FALSE()))</f>
        <v/>
      </c>
      <c r="M53" s="15" t="str">
        <f>IF(K53="","",VLOOKUP(K53,'Class-Matrix'!$B$12:$H$16,3,FALSE()))</f>
        <v/>
      </c>
      <c r="N53" s="15" t="str">
        <f>IF(K53="","",VLOOKUP(K53,'Class-Matrix'!$B$12:$H$16,4,FALSE()))</f>
        <v/>
      </c>
      <c r="O53" s="16"/>
      <c r="P53" s="16"/>
      <c r="Q53" s="16"/>
      <c r="R53" s="16"/>
    </row>
    <row r="54" spans="1:18" ht="30" customHeight="1" x14ac:dyDescent="0.25">
      <c r="A54" s="11">
        <v>53</v>
      </c>
      <c r="B54" s="16"/>
      <c r="C54" s="16"/>
      <c r="D54" s="16"/>
      <c r="E54" s="16"/>
      <c r="F54" s="16"/>
      <c r="G54" s="16"/>
      <c r="H54" s="16"/>
      <c r="I54" s="16"/>
      <c r="J54" s="14" t="str">
        <f t="shared" si="1"/>
        <v/>
      </c>
      <c r="K54" s="14" t="str">
        <f>IF(J54="","",IF(OR(E54="Ja",E54="Yes"),"Tier 0 – Foundation",INDEX('Class-Matrix'!$B$4:$B$7,MATCH(J54,'Class-Matrix'!$A$4:$A$7,1))))</f>
        <v/>
      </c>
      <c r="L54" s="15" t="str">
        <f>IF(K54="","",VLOOKUP(K54,'Class-Matrix'!$B$12:$H$16,2,FALSE()))</f>
        <v/>
      </c>
      <c r="M54" s="15" t="str">
        <f>IF(K54="","",VLOOKUP(K54,'Class-Matrix'!$B$12:$H$16,3,FALSE()))</f>
        <v/>
      </c>
      <c r="N54" s="15" t="str">
        <f>IF(K54="","",VLOOKUP(K54,'Class-Matrix'!$B$12:$H$16,4,FALSE()))</f>
        <v/>
      </c>
      <c r="O54" s="16"/>
      <c r="P54" s="16"/>
      <c r="Q54" s="16"/>
      <c r="R54" s="16"/>
    </row>
    <row r="55" spans="1:18" ht="30" customHeight="1" x14ac:dyDescent="0.25">
      <c r="A55" s="11">
        <v>54</v>
      </c>
      <c r="B55" s="16"/>
      <c r="C55" s="16"/>
      <c r="D55" s="16"/>
      <c r="E55" s="16"/>
      <c r="F55" s="16"/>
      <c r="G55" s="16"/>
      <c r="H55" s="16"/>
      <c r="I55" s="16"/>
      <c r="J55" s="14" t="str">
        <f t="shared" si="1"/>
        <v/>
      </c>
      <c r="K55" s="14" t="str">
        <f>IF(J55="","",IF(OR(E55="Ja",E55="Yes"),"Tier 0 – Foundation",INDEX('Class-Matrix'!$B$4:$B$7,MATCH(J55,'Class-Matrix'!$A$4:$A$7,1))))</f>
        <v/>
      </c>
      <c r="L55" s="15" t="str">
        <f>IF(K55="","",VLOOKUP(K55,'Class-Matrix'!$B$12:$H$16,2,FALSE()))</f>
        <v/>
      </c>
      <c r="M55" s="15" t="str">
        <f>IF(K55="","",VLOOKUP(K55,'Class-Matrix'!$B$12:$H$16,3,FALSE()))</f>
        <v/>
      </c>
      <c r="N55" s="15" t="str">
        <f>IF(K55="","",VLOOKUP(K55,'Class-Matrix'!$B$12:$H$16,4,FALSE()))</f>
        <v/>
      </c>
      <c r="O55" s="16"/>
      <c r="P55" s="16"/>
      <c r="Q55" s="16"/>
      <c r="R55" s="16"/>
    </row>
    <row r="56" spans="1:18" ht="30" customHeight="1" x14ac:dyDescent="0.25">
      <c r="A56" s="11">
        <v>55</v>
      </c>
      <c r="B56" s="16"/>
      <c r="C56" s="16"/>
      <c r="D56" s="16"/>
      <c r="E56" s="16"/>
      <c r="F56" s="16"/>
      <c r="G56" s="16"/>
      <c r="H56" s="16"/>
      <c r="I56" s="16"/>
      <c r="J56" s="14" t="str">
        <f t="shared" si="1"/>
        <v/>
      </c>
      <c r="K56" s="14" t="str">
        <f>IF(J56="","",IF(OR(E56="Ja",E56="Yes"),"Tier 0 – Foundation",INDEX('Class-Matrix'!$B$4:$B$7,MATCH(J56,'Class-Matrix'!$A$4:$A$7,1))))</f>
        <v/>
      </c>
      <c r="L56" s="15" t="str">
        <f>IF(K56="","",VLOOKUP(K56,'Class-Matrix'!$B$12:$H$16,2,FALSE()))</f>
        <v/>
      </c>
      <c r="M56" s="15" t="str">
        <f>IF(K56="","",VLOOKUP(K56,'Class-Matrix'!$B$12:$H$16,3,FALSE()))</f>
        <v/>
      </c>
      <c r="N56" s="15" t="str">
        <f>IF(K56="","",VLOOKUP(K56,'Class-Matrix'!$B$12:$H$16,4,FALSE()))</f>
        <v/>
      </c>
      <c r="O56" s="16"/>
      <c r="P56" s="16"/>
      <c r="Q56" s="16"/>
      <c r="R56" s="16"/>
    </row>
    <row r="57" spans="1:18" ht="30" customHeight="1" x14ac:dyDescent="0.25">
      <c r="A57" s="11">
        <v>56</v>
      </c>
      <c r="B57" s="16"/>
      <c r="C57" s="16"/>
      <c r="D57" s="16"/>
      <c r="E57" s="16"/>
      <c r="F57" s="16"/>
      <c r="G57" s="16"/>
      <c r="H57" s="16"/>
      <c r="I57" s="16"/>
      <c r="J57" s="14" t="str">
        <f t="shared" si="1"/>
        <v/>
      </c>
      <c r="K57" s="14" t="str">
        <f>IF(J57="","",IF(OR(E57="Ja",E57="Yes"),"Tier 0 – Foundation",INDEX('Class-Matrix'!$B$4:$B$7,MATCH(J57,'Class-Matrix'!$A$4:$A$7,1))))</f>
        <v/>
      </c>
      <c r="L57" s="15" t="str">
        <f>IF(K57="","",VLOOKUP(K57,'Class-Matrix'!$B$12:$H$16,2,FALSE()))</f>
        <v/>
      </c>
      <c r="M57" s="15" t="str">
        <f>IF(K57="","",VLOOKUP(K57,'Class-Matrix'!$B$12:$H$16,3,FALSE()))</f>
        <v/>
      </c>
      <c r="N57" s="15" t="str">
        <f>IF(K57="","",VLOOKUP(K57,'Class-Matrix'!$B$12:$H$16,4,FALSE()))</f>
        <v/>
      </c>
      <c r="O57" s="16"/>
      <c r="P57" s="16"/>
      <c r="Q57" s="16"/>
      <c r="R57" s="16"/>
    </row>
    <row r="58" spans="1:18" ht="30" customHeight="1" x14ac:dyDescent="0.25">
      <c r="A58" s="11">
        <v>57</v>
      </c>
      <c r="B58" s="16"/>
      <c r="C58" s="16"/>
      <c r="D58" s="16"/>
      <c r="E58" s="16"/>
      <c r="F58" s="16"/>
      <c r="G58" s="16"/>
      <c r="H58" s="16"/>
      <c r="I58" s="16"/>
      <c r="J58" s="14" t="str">
        <f t="shared" si="1"/>
        <v/>
      </c>
      <c r="K58" s="14" t="str">
        <f>IF(J58="","",IF(OR(E58="Ja",E58="Yes"),"Tier 0 – Foundation",INDEX('Class-Matrix'!$B$4:$B$7,MATCH(J58,'Class-Matrix'!$A$4:$A$7,1))))</f>
        <v/>
      </c>
      <c r="L58" s="15" t="str">
        <f>IF(K58="","",VLOOKUP(K58,'Class-Matrix'!$B$12:$H$16,2,FALSE()))</f>
        <v/>
      </c>
      <c r="M58" s="15" t="str">
        <f>IF(K58="","",VLOOKUP(K58,'Class-Matrix'!$B$12:$H$16,3,FALSE()))</f>
        <v/>
      </c>
      <c r="N58" s="15" t="str">
        <f>IF(K58="","",VLOOKUP(K58,'Class-Matrix'!$B$12:$H$16,4,FALSE()))</f>
        <v/>
      </c>
      <c r="O58" s="16"/>
      <c r="P58" s="16"/>
      <c r="Q58" s="16"/>
      <c r="R58" s="16"/>
    </row>
    <row r="59" spans="1:18" ht="30" customHeight="1" x14ac:dyDescent="0.25">
      <c r="A59" s="11">
        <v>58</v>
      </c>
      <c r="B59" s="16"/>
      <c r="C59" s="16"/>
      <c r="D59" s="16"/>
      <c r="E59" s="16"/>
      <c r="F59" s="16"/>
      <c r="G59" s="16"/>
      <c r="H59" s="16"/>
      <c r="I59" s="16"/>
      <c r="J59" s="14" t="str">
        <f t="shared" si="1"/>
        <v/>
      </c>
      <c r="K59" s="14" t="str">
        <f>IF(J59="","",IF(OR(E59="Ja",E59="Yes"),"Tier 0 – Foundation",INDEX('Class-Matrix'!$B$4:$B$7,MATCH(J59,'Class-Matrix'!$A$4:$A$7,1))))</f>
        <v/>
      </c>
      <c r="L59" s="15" t="str">
        <f>IF(K59="","",VLOOKUP(K59,'Class-Matrix'!$B$12:$H$16,2,FALSE()))</f>
        <v/>
      </c>
      <c r="M59" s="15" t="str">
        <f>IF(K59="","",VLOOKUP(K59,'Class-Matrix'!$B$12:$H$16,3,FALSE()))</f>
        <v/>
      </c>
      <c r="N59" s="15" t="str">
        <f>IF(K59="","",VLOOKUP(K59,'Class-Matrix'!$B$12:$H$16,4,FALSE()))</f>
        <v/>
      </c>
      <c r="O59" s="16"/>
      <c r="P59" s="16"/>
      <c r="Q59" s="16"/>
      <c r="R59" s="16"/>
    </row>
    <row r="60" spans="1:18" ht="30" customHeight="1" x14ac:dyDescent="0.25">
      <c r="A60" s="11">
        <v>59</v>
      </c>
      <c r="B60" s="16"/>
      <c r="C60" s="16"/>
      <c r="D60" s="16"/>
      <c r="E60" s="16"/>
      <c r="F60" s="16"/>
      <c r="G60" s="16"/>
      <c r="H60" s="16"/>
      <c r="I60" s="16"/>
      <c r="J60" s="14" t="str">
        <f t="shared" si="1"/>
        <v/>
      </c>
      <c r="K60" s="14" t="str">
        <f>IF(J60="","",IF(OR(E60="Ja",E60="Yes"),"Tier 0 – Foundation",INDEX('Class-Matrix'!$B$4:$B$7,MATCH(J60,'Class-Matrix'!$A$4:$A$7,1))))</f>
        <v/>
      </c>
      <c r="L60" s="15" t="str">
        <f>IF(K60="","",VLOOKUP(K60,'Class-Matrix'!$B$12:$H$16,2,FALSE()))</f>
        <v/>
      </c>
      <c r="M60" s="15" t="str">
        <f>IF(K60="","",VLOOKUP(K60,'Class-Matrix'!$B$12:$H$16,3,FALSE()))</f>
        <v/>
      </c>
      <c r="N60" s="15" t="str">
        <f>IF(K60="","",VLOOKUP(K60,'Class-Matrix'!$B$12:$H$16,4,FALSE()))</f>
        <v/>
      </c>
      <c r="O60" s="16"/>
      <c r="P60" s="16"/>
      <c r="Q60" s="16"/>
      <c r="R60" s="16"/>
    </row>
    <row r="61" spans="1:18" ht="30" customHeight="1" x14ac:dyDescent="0.25">
      <c r="A61" s="11">
        <v>60</v>
      </c>
      <c r="B61" s="16"/>
      <c r="C61" s="16"/>
      <c r="D61" s="16"/>
      <c r="E61" s="16"/>
      <c r="F61" s="16"/>
      <c r="G61" s="16"/>
      <c r="H61" s="16"/>
      <c r="I61" s="16"/>
      <c r="J61" s="14" t="str">
        <f t="shared" si="1"/>
        <v/>
      </c>
      <c r="K61" s="14" t="str">
        <f>IF(J61="","",IF(OR(E61="Ja",E61="Yes"),"Tier 0 – Foundation",INDEX('Class-Matrix'!$B$4:$B$7,MATCH(J61,'Class-Matrix'!$A$4:$A$7,1))))</f>
        <v/>
      </c>
      <c r="L61" s="15" t="str">
        <f>IF(K61="","",VLOOKUP(K61,'Class-Matrix'!$B$12:$H$16,2,FALSE()))</f>
        <v/>
      </c>
      <c r="M61" s="15" t="str">
        <f>IF(K61="","",VLOOKUP(K61,'Class-Matrix'!$B$12:$H$16,3,FALSE()))</f>
        <v/>
      </c>
      <c r="N61" s="15" t="str">
        <f>IF(K61="","",VLOOKUP(K61,'Class-Matrix'!$B$12:$H$16,4,FALSE()))</f>
        <v/>
      </c>
      <c r="O61" s="16"/>
      <c r="P61" s="16"/>
      <c r="Q61" s="16"/>
      <c r="R61" s="16"/>
    </row>
  </sheetData>
  <autoFilter ref="A1:R61" xr:uid="{00000000-0009-0000-0000-000003000000}"/>
  <conditionalFormatting sqref="K2:K61">
    <cfRule type="cellIs" dxfId="4" priority="2" operator="equal">
      <formula>"Tier 0 – Foundation"</formula>
    </cfRule>
    <cfRule type="cellIs" dxfId="3" priority="3" operator="equal">
      <formula>"Platinum"</formula>
    </cfRule>
    <cfRule type="cellIs" dxfId="2" priority="4" operator="equal">
      <formula>"Gold"</formula>
    </cfRule>
    <cfRule type="cellIs" dxfId="1" priority="5" operator="equal">
      <formula>"Silver"</formula>
    </cfRule>
    <cfRule type="cellIs" dxfId="0" priority="6" operator="equal">
      <formula>"Bronze"</formula>
    </cfRule>
  </conditionalFormatting>
  <dataValidations count="2">
    <dataValidation type="list" allowBlank="1" sqref="E2:E61" xr:uid="{00000000-0002-0000-0300-000000000000}">
      <formula1>"Yes,No"</formula1>
      <formula2>0</formula2>
    </dataValidation>
    <dataValidation type="list" allowBlank="1" sqref="F2:I61" xr:uid="{00000000-0002-0000-0300-000001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showGridLines="0" zoomScaleNormal="100" workbookViewId="0">
      <selection activeCell="I30" sqref="I30"/>
    </sheetView>
  </sheetViews>
  <sheetFormatPr baseColWidth="10" defaultColWidth="8.7109375" defaultRowHeight="15" x14ac:dyDescent="0.25"/>
  <cols>
    <col min="1" max="1" width="24" customWidth="1"/>
    <col min="2" max="2" width="18" customWidth="1"/>
  </cols>
  <sheetData>
    <row r="1" spans="1:6" ht="24" customHeight="1" x14ac:dyDescent="0.25">
      <c r="A1" s="19" t="s">
        <v>111</v>
      </c>
      <c r="B1" s="19"/>
      <c r="C1" s="19"/>
      <c r="D1" s="19"/>
    </row>
    <row r="3" spans="1:6" ht="15" customHeight="1" x14ac:dyDescent="0.25">
      <c r="A3" s="10" t="s">
        <v>105</v>
      </c>
      <c r="B3" s="10" t="s">
        <v>112</v>
      </c>
    </row>
    <row r="4" spans="1:6" ht="15" customHeight="1" x14ac:dyDescent="0.25">
      <c r="A4" s="11" t="s">
        <v>73</v>
      </c>
      <c r="B4" s="11">
        <f>COUNTIF('Workload-Register'!$K$2:$K$61,A4)</f>
        <v>0</v>
      </c>
    </row>
    <row r="5" spans="1:6" ht="15" customHeight="1" x14ac:dyDescent="0.25">
      <c r="A5" s="11" t="s">
        <v>64</v>
      </c>
      <c r="B5" s="11">
        <f>COUNTIF('Workload-Register'!$K$2:$K$61,A5)</f>
        <v>0</v>
      </c>
    </row>
    <row r="6" spans="1:6" ht="15" customHeight="1" x14ac:dyDescent="0.25">
      <c r="A6" s="11" t="s">
        <v>63</v>
      </c>
      <c r="B6" s="11">
        <f>COUNTIF('Workload-Register'!$K$2:$K$61,A6)</f>
        <v>0</v>
      </c>
    </row>
    <row r="7" spans="1:6" ht="15" customHeight="1" x14ac:dyDescent="0.25">
      <c r="A7" s="11" t="s">
        <v>62</v>
      </c>
      <c r="B7" s="11">
        <f>COUNTIF('Workload-Register'!$K$2:$K$61,A7)</f>
        <v>0</v>
      </c>
    </row>
    <row r="8" spans="1:6" ht="15" customHeight="1" x14ac:dyDescent="0.25">
      <c r="A8" s="11" t="s">
        <v>61</v>
      </c>
      <c r="B8" s="11">
        <f>COUNTIF('Workload-Register'!$K$2:$K$61,A8)</f>
        <v>0</v>
      </c>
    </row>
    <row r="9" spans="1:6" ht="15" customHeight="1" x14ac:dyDescent="0.25">
      <c r="A9" s="17" t="s">
        <v>113</v>
      </c>
      <c r="B9" s="17">
        <f>COUNTA('Workload-Register'!$B$2:$B$61)</f>
        <v>0</v>
      </c>
    </row>
    <row r="13" spans="1:6" ht="45" customHeight="1" x14ac:dyDescent="0.25">
      <c r="A13" s="21" t="s">
        <v>114</v>
      </c>
      <c r="B13" s="21"/>
      <c r="C13" s="21"/>
      <c r="D13" s="21"/>
      <c r="E13" s="21"/>
      <c r="F13" s="21"/>
    </row>
  </sheetData>
  <mergeCells count="2">
    <mergeCell ref="A1:D1"/>
    <mergeCell ref="A13:F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d3ede7-c68f-4375-bfef-fe029ddadc05" xsi:nil="true"/>
    <lcf76f155ced4ddcb4097134ff3c332f xmlns="936a6076-86f8-4eb3-808f-eb39cffaedd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851B05661E4B49844D9DF2869A3A3A" ma:contentTypeVersion="11" ma:contentTypeDescription="Create a new document." ma:contentTypeScope="" ma:versionID="fe4e958d055b19c3afac2a30149de315">
  <xsd:schema xmlns:xsd="http://www.w3.org/2001/XMLSchema" xmlns:xs="http://www.w3.org/2001/XMLSchema" xmlns:p="http://schemas.microsoft.com/office/2006/metadata/properties" xmlns:ns2="936a6076-86f8-4eb3-808f-eb39cffaedd2" xmlns:ns3="78d3ede7-c68f-4375-bfef-fe029ddadc05" targetNamespace="http://schemas.microsoft.com/office/2006/metadata/properties" ma:root="true" ma:fieldsID="95405ea3c5052534b2e250b3624b7ef0" ns2:_="" ns3:_="">
    <xsd:import namespace="936a6076-86f8-4eb3-808f-eb39cffaedd2"/>
    <xsd:import namespace="78d3ede7-c68f-4375-bfef-fe029ddadc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a6076-86f8-4eb3-808f-eb39cffaed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2f7ecf7-3daf-40a4-b73e-fe1cc035c9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d3ede7-c68f-4375-bfef-fe029ddadc0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d4d8b37-79e1-48ab-a52d-6766ad9f68da}" ma:internalName="TaxCatchAll" ma:showField="CatchAllData" ma:web="78d3ede7-c68f-4375-bfef-fe029ddadc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FE424C-5E23-4FAB-B6CB-BF4AC41359A8}">
  <ds:schemaRefs>
    <ds:schemaRef ds:uri="http://schemas.microsoft.com/office/2006/metadata/properties"/>
    <ds:schemaRef ds:uri="http://schemas.microsoft.com/office/infopath/2007/PartnerControls"/>
    <ds:schemaRef ds:uri="78d3ede7-c68f-4375-bfef-fe029ddadc05"/>
    <ds:schemaRef ds:uri="936a6076-86f8-4eb3-808f-eb39cffaedd2"/>
  </ds:schemaRefs>
</ds:datastoreItem>
</file>

<file path=customXml/itemProps2.xml><?xml version="1.0" encoding="utf-8"?>
<ds:datastoreItem xmlns:ds="http://schemas.openxmlformats.org/officeDocument/2006/customXml" ds:itemID="{55F828E6-61CF-45FB-ADF8-B92B2DFF82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6a6076-86f8-4eb3-808f-eb39cffaedd2"/>
    <ds:schemaRef ds:uri="78d3ede7-c68f-4375-bfef-fe029ddadc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9ED5F9-C068-46CE-8357-66853EC1A5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Instructions</vt:lpstr>
      <vt:lpstr>Import</vt:lpstr>
      <vt:lpstr>Class-Matrix</vt:lpstr>
      <vt:lpstr>Workload-Register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Klaus Wittenberg</cp:lastModifiedBy>
  <cp:revision>2</cp:revision>
  <dcterms:created xsi:type="dcterms:W3CDTF">2026-07-15T10:20:38Z</dcterms:created>
  <dcterms:modified xsi:type="dcterms:W3CDTF">2026-08-05T09:21:57Z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0x01010063851B05661E4B49844D9DF2869A3A3A</vt:lpwstr>
  </property>
  <property fmtid="{D5CDD505-2E9C-101B-9397-08002B2CF9AE}" pid="3" name="MediaServiceImageTags">
    <vt:lpwstr/>
  </property>
</Properties>
</file>